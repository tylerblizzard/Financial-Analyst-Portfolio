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Drivers" sheetId="1" state="visible" r:id="rId1"/>
    <sheet name="Income Statement" sheetId="2" state="visible" r:id="rId2"/>
    <sheet name="Balance Sheet" sheetId="3" state="visible" r:id="rId3"/>
    <sheet name="Cash Flow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4472C4"/>
      <sz val="16"/>
    </font>
    <font>
      <b val="1"/>
      <sz val="14"/>
    </font>
    <font>
      <b val="1"/>
    </font>
    <font>
      <b val="1"/>
      <color rgb="000000FF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D6E4F5"/>
        <bgColor rgb="00D6E4F5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3" fillId="4" borderId="0" pivotButton="0" quotePrefix="0" xfId="0"/>
    <xf numFmtId="164" fontId="4" fillId="2" borderId="0" pivotButton="0" quotePrefix="0" xfId="0"/>
    <xf numFmtId="165" fontId="4" fillId="2" borderId="0" pivotButton="0" quotePrefix="0" xfId="0"/>
    <xf numFmtId="1" fontId="4" fillId="2" borderId="0" pivotButton="0" quotePrefix="0" xfId="0"/>
    <xf numFmtId="0" fontId="6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165" fontId="0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'Charts'!$A$4:$A$12</f>
            </numRef>
          </cat>
          <val>
            <numRef>
              <f>'Charts'!$B$4:$B$12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EBITDA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'Charts'!$A$4:$A$12</f>
            </numRef>
          </cat>
          <val>
            <numRef>
              <f>'Charts'!$C$4:$C$12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Free Cash Flow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'Charts'!$A$4:$A$12</f>
            </numRef>
          </cat>
          <val>
            <numRef>
              <f>'Charts'!$D$4:$D$12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millions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32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3-STATEMENT FINANCIAL MODEL</t>
        </is>
      </c>
    </row>
    <row r="2">
      <c r="A2" s="2" t="inlineStr">
        <is>
          <t>ASSUMPTIONS &amp; DRIVERS</t>
        </is>
      </c>
    </row>
    <row r="4">
      <c r="A4" s="3" t="inlineStr">
        <is>
          <t>Scenario Selection:</t>
        </is>
      </c>
      <c r="B4" s="4" t="inlineStr">
        <is>
          <t>Base</t>
        </is>
      </c>
    </row>
    <row r="6">
      <c r="A6" s="5" t="inlineStr">
        <is>
          <t>INPUTS (in $mm)</t>
        </is>
      </c>
      <c r="B6" s="6" t="n">
        <v>2021</v>
      </c>
      <c r="C6" s="6" t="n">
        <v>2022</v>
      </c>
      <c r="D6" s="6" t="n">
        <v>2023</v>
      </c>
      <c r="E6" s="6" t="n">
        <v>2024</v>
      </c>
      <c r="F6" s="6" t="n">
        <v>2025</v>
      </c>
      <c r="G6" s="6" t="n">
        <v>2026</v>
      </c>
      <c r="H6" s="6" t="n">
        <v>2027</v>
      </c>
      <c r="I6" s="6" t="n">
        <v>2028</v>
      </c>
      <c r="J6" s="6" t="n">
        <v>2029</v>
      </c>
    </row>
    <row r="7">
      <c r="A7" s="7" t="inlineStr">
        <is>
          <t>REVENUE ASSUMPTIONS</t>
        </is>
      </c>
    </row>
    <row r="8">
      <c r="A8" t="inlineStr">
        <is>
          <t>Product Revenue</t>
        </is>
      </c>
      <c r="B8" s="8" t="n">
        <v>100</v>
      </c>
      <c r="C8" s="8" t="n">
        <v>110</v>
      </c>
      <c r="D8" s="8" t="n">
        <v>125</v>
      </c>
      <c r="E8" s="8" t="n">
        <v>140</v>
      </c>
    </row>
    <row r="9">
      <c r="A9" t="inlineStr">
        <is>
          <t>Service Revenue</t>
        </is>
      </c>
      <c r="B9" s="8" t="n">
        <v>50</v>
      </c>
      <c r="C9" s="8" t="n">
        <v>55</v>
      </c>
      <c r="D9" s="8" t="n">
        <v>62</v>
      </c>
      <c r="E9" s="8" t="n">
        <v>70</v>
      </c>
    </row>
    <row r="10">
      <c r="A10" t="inlineStr">
        <is>
          <t>Product Revenue Growth %</t>
        </is>
      </c>
      <c r="F10" s="9">
        <f>IF($B$4="Base",0.08,IF($B$4="Upside",0.12,0.05))</f>
        <v/>
      </c>
      <c r="G10" s="9">
        <f>IF($B$4="Base",0.06,IF($B$4="Upside",0.10,0.03))</f>
        <v/>
      </c>
      <c r="H10" s="9">
        <f>IF($B$4="Base",0.06,IF($B$4="Upside",0.10,0.03))</f>
        <v/>
      </c>
      <c r="I10" s="9">
        <f>IF($B$4="Base",0.06,IF($B$4="Upside",0.10,0.03))</f>
        <v/>
      </c>
      <c r="J10" s="9">
        <f>IF($B$4="Base",0.06,IF($B$4="Upside",0.10,0.03))</f>
        <v/>
      </c>
    </row>
    <row r="11">
      <c r="A11" t="inlineStr">
        <is>
          <t>Service Revenue Growth %</t>
        </is>
      </c>
      <c r="F11" s="9">
        <f>IF($B$4="Base",0.10,IF($B$4="Upside",0.15,0.07))</f>
        <v/>
      </c>
      <c r="G11" s="9">
        <f>IF($B$4="Base",0.08,IF($B$4="Upside",0.12,0.05))</f>
        <v/>
      </c>
      <c r="H11" s="9">
        <f>IF($B$4="Base",0.08,IF($B$4="Upside",0.12,0.05))</f>
        <v/>
      </c>
      <c r="I11" s="9">
        <f>IF($B$4="Base",0.08,IF($B$4="Upside",0.12,0.05))</f>
        <v/>
      </c>
      <c r="J11" s="9">
        <f>IF($B$4="Base",0.08,IF($B$4="Upside",0.12,0.05))</f>
        <v/>
      </c>
    </row>
    <row r="13">
      <c r="A13" s="7" t="inlineStr">
        <is>
          <t>OPERATING ASSUMPTIONS</t>
        </is>
      </c>
    </row>
    <row r="14">
      <c r="A14" t="inlineStr">
        <is>
          <t>Gross Margin %</t>
        </is>
      </c>
      <c r="B14" s="9" t="n">
        <v>0.65</v>
      </c>
      <c r="C14" s="9" t="n">
        <v>0.65</v>
      </c>
      <c r="D14" s="9" t="n">
        <v>0.65</v>
      </c>
      <c r="E14" s="9" t="n">
        <v>0.65</v>
      </c>
      <c r="F14" s="9">
        <f>IF($B$4="Base",0.67,IF($B$4="Upside",0.70,0.64))</f>
        <v/>
      </c>
      <c r="G14" s="9">
        <f>IF($B$4="Base",0.67,IF($B$4="Upside",0.70,0.64))</f>
        <v/>
      </c>
      <c r="H14" s="9">
        <f>IF($B$4="Base",0.67,IF($B$4="Upside",0.70,0.64))</f>
        <v/>
      </c>
      <c r="I14" s="9">
        <f>IF($B$4="Base",0.67,IF($B$4="Upside",0.70,0.64))</f>
        <v/>
      </c>
      <c r="J14" s="9">
        <f>IF($B$4="Base",0.67,IF($B$4="Upside",0.70,0.64))</f>
        <v/>
      </c>
    </row>
    <row r="15">
      <c r="A15" t="inlineStr">
        <is>
          <t>SG&amp;A % of Revenue</t>
        </is>
      </c>
      <c r="B15" s="9" t="n">
        <v>0.25</v>
      </c>
      <c r="C15" s="9" t="n">
        <v>0.25</v>
      </c>
      <c r="D15" s="9" t="n">
        <v>0.25</v>
      </c>
      <c r="E15" s="9" t="n">
        <v>0.25</v>
      </c>
      <c r="F15" s="9">
        <f>IF($B$4="Base",0.24,IF($B$4="Upside",0.23,0.26))</f>
        <v/>
      </c>
      <c r="G15" s="9">
        <f>IF($B$4="Base",0.24,IF($B$4="Upside",0.23,0.26))</f>
        <v/>
      </c>
      <c r="H15" s="9">
        <f>IF($B$4="Base",0.24,IF($B$4="Upside",0.23,0.26))</f>
        <v/>
      </c>
      <c r="I15" s="9">
        <f>IF($B$4="Base",0.24,IF($B$4="Upside",0.23,0.26))</f>
        <v/>
      </c>
      <c r="J15" s="9">
        <f>IF($B$4="Base",0.24,IF($B$4="Upside",0.23,0.26))</f>
        <v/>
      </c>
    </row>
    <row r="16">
      <c r="A16" t="inlineStr">
        <is>
          <t>R&amp;D % of Revenue</t>
        </is>
      </c>
      <c r="B16" s="9" t="n">
        <v>0.12</v>
      </c>
      <c r="C16" s="9" t="n">
        <v>0.12</v>
      </c>
      <c r="D16" s="9" t="n">
        <v>0.12</v>
      </c>
      <c r="E16" s="9" t="n">
        <v>0.12</v>
      </c>
      <c r="F16" s="9">
        <f>IF($B$4="Base",0.12,IF($B$4="Upside",0.13,0.10))</f>
        <v/>
      </c>
      <c r="G16" s="9">
        <f>IF($B$4="Base",0.12,IF($B$4="Upside",0.13,0.10))</f>
        <v/>
      </c>
      <c r="H16" s="9">
        <f>IF($B$4="Base",0.12,IF($B$4="Upside",0.13,0.10))</f>
        <v/>
      </c>
      <c r="I16" s="9">
        <f>IF($B$4="Base",0.12,IF($B$4="Upside",0.13,0.10))</f>
        <v/>
      </c>
      <c r="J16" s="9">
        <f>IF($B$4="Base",0.12,IF($B$4="Upside",0.13,0.10))</f>
        <v/>
      </c>
    </row>
    <row r="17">
      <c r="A17" t="inlineStr">
        <is>
          <t>D&amp;A % of Revenue</t>
        </is>
      </c>
      <c r="B17" s="9" t="n">
        <v>0.05</v>
      </c>
      <c r="C17" s="9" t="n">
        <v>0.05</v>
      </c>
      <c r="D17" s="9" t="n">
        <v>0.05</v>
      </c>
      <c r="E17" s="9" t="n">
        <v>0.05</v>
      </c>
      <c r="F17" s="9" t="n">
        <v>0.05</v>
      </c>
      <c r="G17" s="9" t="n">
        <v>0.05</v>
      </c>
      <c r="H17" s="9" t="n">
        <v>0.05</v>
      </c>
      <c r="I17" s="9" t="n">
        <v>0.05</v>
      </c>
      <c r="J17" s="9" t="n">
        <v>0.05</v>
      </c>
    </row>
    <row r="18">
      <c r="A18" t="inlineStr">
        <is>
          <t>Tax Rate</t>
        </is>
      </c>
      <c r="B18" s="9" t="n">
        <v>0.25</v>
      </c>
      <c r="C18" s="9" t="n">
        <v>0.25</v>
      </c>
      <c r="D18" s="9" t="n">
        <v>0.25</v>
      </c>
      <c r="E18" s="9" t="n">
        <v>0.25</v>
      </c>
      <c r="F18" s="9" t="n">
        <v>0.25</v>
      </c>
      <c r="G18" s="9" t="n">
        <v>0.25</v>
      </c>
      <c r="H18" s="9" t="n">
        <v>0.25</v>
      </c>
      <c r="I18" s="9" t="n">
        <v>0.25</v>
      </c>
      <c r="J18" s="9" t="n">
        <v>0.25</v>
      </c>
    </row>
    <row r="20">
      <c r="A20" s="7" t="inlineStr">
        <is>
          <t>BALANCE SHEET ASSUMPTIONS</t>
        </is>
      </c>
    </row>
    <row r="21">
      <c r="A21" t="inlineStr">
        <is>
          <t>AR Days</t>
        </is>
      </c>
      <c r="B21" s="10" t="n">
        <v>45</v>
      </c>
      <c r="C21" s="10" t="n">
        <v>45</v>
      </c>
      <c r="D21" s="10" t="n">
        <v>45</v>
      </c>
      <c r="E21" s="10" t="n">
        <v>45</v>
      </c>
      <c r="F21" s="10" t="n">
        <v>45</v>
      </c>
      <c r="G21" s="10" t="n">
        <v>45</v>
      </c>
      <c r="H21" s="10" t="n">
        <v>45</v>
      </c>
      <c r="I21" s="10" t="n">
        <v>45</v>
      </c>
      <c r="J21" s="10" t="n">
        <v>45</v>
      </c>
    </row>
    <row r="22">
      <c r="A22" t="inlineStr">
        <is>
          <t>Inventory Days</t>
        </is>
      </c>
      <c r="B22" s="10" t="n">
        <v>60</v>
      </c>
      <c r="C22" s="10" t="n">
        <v>60</v>
      </c>
      <c r="D22" s="10" t="n">
        <v>60</v>
      </c>
      <c r="E22" s="10" t="n">
        <v>60</v>
      </c>
      <c r="F22" s="10" t="n">
        <v>60</v>
      </c>
      <c r="G22" s="10" t="n">
        <v>60</v>
      </c>
      <c r="H22" s="10" t="n">
        <v>60</v>
      </c>
      <c r="I22" s="10" t="n">
        <v>60</v>
      </c>
      <c r="J22" s="10" t="n">
        <v>60</v>
      </c>
    </row>
    <row r="23">
      <c r="A23" t="inlineStr">
        <is>
          <t>AP Days</t>
        </is>
      </c>
      <c r="B23" s="10" t="n">
        <v>30</v>
      </c>
      <c r="C23" s="10" t="n">
        <v>30</v>
      </c>
      <c r="D23" s="10" t="n">
        <v>30</v>
      </c>
      <c r="E23" s="10" t="n">
        <v>30</v>
      </c>
      <c r="F23" s="10" t="n">
        <v>30</v>
      </c>
      <c r="G23" s="10" t="n">
        <v>30</v>
      </c>
      <c r="H23" s="10" t="n">
        <v>30</v>
      </c>
      <c r="I23" s="10" t="n">
        <v>30</v>
      </c>
      <c r="J23" s="10" t="n">
        <v>30</v>
      </c>
    </row>
    <row r="24">
      <c r="A24" t="inlineStr">
        <is>
          <t>Other Current Assets % of Rev</t>
        </is>
      </c>
      <c r="B24" s="9" t="n">
        <v>0.03</v>
      </c>
      <c r="C24" s="9" t="n">
        <v>0.03</v>
      </c>
      <c r="D24" s="9" t="n">
        <v>0.03</v>
      </c>
      <c r="E24" s="9" t="n">
        <v>0.03</v>
      </c>
      <c r="F24" s="9" t="n">
        <v>0.03</v>
      </c>
      <c r="G24" s="9" t="n">
        <v>0.03</v>
      </c>
      <c r="H24" s="9" t="n">
        <v>0.03</v>
      </c>
      <c r="I24" s="9" t="n">
        <v>0.03</v>
      </c>
      <c r="J24" s="9" t="n">
        <v>0.03</v>
      </c>
    </row>
    <row r="25">
      <c r="A25" t="inlineStr">
        <is>
          <t>Other Current Liab % of Rev</t>
        </is>
      </c>
      <c r="B25" s="9" t="n">
        <v>0.02</v>
      </c>
      <c r="C25" s="9" t="n">
        <v>0.02</v>
      </c>
      <c r="D25" s="9" t="n">
        <v>0.02</v>
      </c>
      <c r="E25" s="9" t="n">
        <v>0.02</v>
      </c>
      <c r="F25" s="9" t="n">
        <v>0.02</v>
      </c>
      <c r="G25" s="9" t="n">
        <v>0.02</v>
      </c>
      <c r="H25" s="9" t="n">
        <v>0.02</v>
      </c>
      <c r="I25" s="9" t="n">
        <v>0.02</v>
      </c>
      <c r="J25" s="9" t="n">
        <v>0.02</v>
      </c>
    </row>
    <row r="26">
      <c r="A26" t="inlineStr">
        <is>
          <t>CapEx % of Revenue</t>
        </is>
      </c>
      <c r="B26" s="9" t="n">
        <v>0.08</v>
      </c>
      <c r="C26" s="9" t="n">
        <v>0.08</v>
      </c>
      <c r="D26" s="9" t="n">
        <v>0.08</v>
      </c>
      <c r="E26" s="9" t="n">
        <v>0.08</v>
      </c>
      <c r="F26" s="9">
        <f>IF($B$4="Base",0.07,IF($B$4="Upside",0.09,0.06))</f>
        <v/>
      </c>
      <c r="G26" s="9">
        <f>IF($B$4="Base",0.07,IF($B$4="Upside",0.09,0.06))</f>
        <v/>
      </c>
      <c r="H26" s="9">
        <f>IF($B$4="Base",0.07,IF($B$4="Upside",0.09,0.06))</f>
        <v/>
      </c>
      <c r="I26" s="9">
        <f>IF($B$4="Base",0.07,IF($B$4="Upside",0.09,0.06))</f>
        <v/>
      </c>
      <c r="J26" s="9">
        <f>IF($B$4="Base",0.07,IF($B$4="Upside",0.09,0.06))</f>
        <v/>
      </c>
    </row>
    <row r="28">
      <c r="A28" s="7" t="inlineStr">
        <is>
          <t>DEBT ASSUMPTIONS</t>
        </is>
      </c>
    </row>
    <row r="29">
      <c r="A29" t="inlineStr">
        <is>
          <t>Beginning Debt (2021)</t>
        </is>
      </c>
      <c r="B29" s="8" t="n">
        <v>50</v>
      </c>
    </row>
    <row r="30">
      <c r="A30" t="inlineStr">
        <is>
          <t>Revolver Interest Rate</t>
        </is>
      </c>
      <c r="B30" s="9" t="n">
        <v>0.05</v>
      </c>
      <c r="C30" s="9" t="n">
        <v>0.05</v>
      </c>
      <c r="D30" s="9" t="n">
        <v>0.05</v>
      </c>
      <c r="E30" s="9" t="n">
        <v>0.05</v>
      </c>
      <c r="F30" s="9" t="n">
        <v>0.05</v>
      </c>
      <c r="G30" s="9" t="n">
        <v>0.05</v>
      </c>
      <c r="H30" s="9" t="n">
        <v>0.05</v>
      </c>
      <c r="I30" s="9" t="n">
        <v>0.05</v>
      </c>
      <c r="J30" s="9" t="n">
        <v>0.05</v>
      </c>
    </row>
    <row r="31">
      <c r="A31" t="inlineStr">
        <is>
          <t>Beginning Equity (2021)</t>
        </is>
      </c>
      <c r="B31" s="8" t="n">
        <v>200</v>
      </c>
    </row>
    <row r="32">
      <c r="A32" t="inlineStr">
        <is>
          <t>Beginning Cash (2021)</t>
        </is>
      </c>
      <c r="B32" s="8" t="n">
        <v>30</v>
      </c>
    </row>
    <row r="33">
      <c r="A33" t="inlineStr">
        <is>
          <t>Beginning PP&amp;E (2021)</t>
        </is>
      </c>
      <c r="B33" s="8" t="n">
        <v>80</v>
      </c>
    </row>
  </sheetData>
  <dataValidations count="1">
    <dataValidation sqref="B4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INCOME STATEMENT</t>
        </is>
      </c>
    </row>
    <row r="2">
      <c r="A2" s="11" t="inlineStr">
        <is>
          <t>($ in millions)</t>
        </is>
      </c>
    </row>
    <row r="4">
      <c r="A4" s="3" t="inlineStr">
        <is>
          <t>Period</t>
        </is>
      </c>
      <c r="B4" s="6" t="n">
        <v>2021</v>
      </c>
      <c r="C4" s="6" t="n">
        <v>2022</v>
      </c>
      <c r="D4" s="6" t="n">
        <v>2023</v>
      </c>
      <c r="E4" s="6" t="n">
        <v>2024</v>
      </c>
      <c r="F4" s="6" t="n">
        <v>2025</v>
      </c>
      <c r="G4" s="6" t="n">
        <v>2026</v>
      </c>
      <c r="H4" s="6" t="n">
        <v>2027</v>
      </c>
      <c r="I4" s="6" t="n">
        <v>2028</v>
      </c>
      <c r="J4" s="6" t="n">
        <v>2029</v>
      </c>
    </row>
    <row r="5">
      <c r="A5" s="7" t="inlineStr">
        <is>
          <t>Revenue</t>
        </is>
      </c>
    </row>
    <row r="6">
      <c r="A6" t="inlineStr">
        <is>
          <t>Product Revenue</t>
        </is>
      </c>
      <c r="B6" s="12">
        <f>'Assumptions &amp; Drivers'!B8</f>
        <v/>
      </c>
      <c r="C6" s="12">
        <f>'Assumptions &amp; Drivers'!C8</f>
        <v/>
      </c>
      <c r="D6" s="12">
        <f>'Assumptions &amp; Drivers'!D8</f>
        <v/>
      </c>
      <c r="E6" s="12">
        <f>'Assumptions &amp; Drivers'!E8</f>
        <v/>
      </c>
      <c r="F6" s="12">
        <f>E6*(1+'Assumptions &amp; Drivers'!F10)</f>
        <v/>
      </c>
      <c r="G6" s="12">
        <f>F6*(1+'Assumptions &amp; Drivers'!G10)</f>
        <v/>
      </c>
      <c r="H6" s="12">
        <f>G6*(1+'Assumptions &amp; Drivers'!H10)</f>
        <v/>
      </c>
      <c r="I6" s="12">
        <f>H6*(1+'Assumptions &amp; Drivers'!I10)</f>
        <v/>
      </c>
      <c r="J6" s="12">
        <f>I6*(1+'Assumptions &amp; Drivers'!J10)</f>
        <v/>
      </c>
    </row>
    <row r="7">
      <c r="A7" t="inlineStr">
        <is>
          <t>Service Revenue</t>
        </is>
      </c>
      <c r="B7" s="12">
        <f>'Assumptions &amp; Drivers'!B9</f>
        <v/>
      </c>
      <c r="C7" s="12">
        <f>'Assumptions &amp; Drivers'!C9</f>
        <v/>
      </c>
      <c r="D7" s="12">
        <f>'Assumptions &amp; Drivers'!D9</f>
        <v/>
      </c>
      <c r="E7" s="12">
        <f>'Assumptions &amp; Drivers'!E9</f>
        <v/>
      </c>
      <c r="F7" s="12">
        <f>E7*(1+'Assumptions &amp; Drivers'!F11)</f>
        <v/>
      </c>
      <c r="G7" s="12">
        <f>F7*(1+'Assumptions &amp; Drivers'!G11)</f>
        <v/>
      </c>
      <c r="H7" s="12">
        <f>G7*(1+'Assumptions &amp; Drivers'!H11)</f>
        <v/>
      </c>
      <c r="I7" s="12">
        <f>H7*(1+'Assumptions &amp; Drivers'!I11)</f>
        <v/>
      </c>
      <c r="J7" s="12">
        <f>I7*(1+'Assumptions &amp; Drivers'!J11)</f>
        <v/>
      </c>
    </row>
    <row r="8">
      <c r="A8" s="3" t="inlineStr">
        <is>
          <t>Total Revenue</t>
        </is>
      </c>
      <c r="B8" s="13">
        <f>SUM(B6:B7)</f>
        <v/>
      </c>
      <c r="C8" s="13">
        <f>SUM(C6:C7)</f>
        <v/>
      </c>
      <c r="D8" s="13">
        <f>SUM(D6:D7)</f>
        <v/>
      </c>
      <c r="E8" s="13">
        <f>SUM(E6:E7)</f>
        <v/>
      </c>
      <c r="F8" s="13">
        <f>SUM(F6:F7)</f>
        <v/>
      </c>
      <c r="G8" s="13">
        <f>SUM(G6:G7)</f>
        <v/>
      </c>
      <c r="H8" s="13">
        <f>SUM(H6:H7)</f>
        <v/>
      </c>
      <c r="I8" s="13">
        <f>SUM(I6:I7)</f>
        <v/>
      </c>
      <c r="J8" s="13">
        <f>SUM(J6:J7)</f>
        <v/>
      </c>
    </row>
    <row r="9">
      <c r="A9" t="inlineStr">
        <is>
          <t>Cost of Goods Sold</t>
        </is>
      </c>
      <c r="B9" s="12">
        <f>B8*(1-'Assumptions &amp; Drivers'!B14)</f>
        <v/>
      </c>
      <c r="C9" s="12">
        <f>C8*(1-'Assumptions &amp; Drivers'!C14)</f>
        <v/>
      </c>
      <c r="D9" s="12">
        <f>D8*(1-'Assumptions &amp; Drivers'!D14)</f>
        <v/>
      </c>
      <c r="E9" s="12">
        <f>E8*(1-'Assumptions &amp; Drivers'!E14)</f>
        <v/>
      </c>
      <c r="F9" s="12">
        <f>F8*(1-'Assumptions &amp; Drivers'!F14)</f>
        <v/>
      </c>
      <c r="G9" s="12">
        <f>G8*(1-'Assumptions &amp; Drivers'!G14)</f>
        <v/>
      </c>
      <c r="H9" s="12">
        <f>H8*(1-'Assumptions &amp; Drivers'!H14)</f>
        <v/>
      </c>
      <c r="I9" s="12">
        <f>I8*(1-'Assumptions &amp; Drivers'!I14)</f>
        <v/>
      </c>
      <c r="J9" s="12">
        <f>J8*(1-'Assumptions &amp; Drivers'!J14)</f>
        <v/>
      </c>
    </row>
    <row r="10">
      <c r="A10" s="3" t="inlineStr">
        <is>
          <t>Gross Profit</t>
        </is>
      </c>
      <c r="B10" s="13">
        <f>B8-B9</f>
        <v/>
      </c>
      <c r="C10" s="13">
        <f>C8-C9</f>
        <v/>
      </c>
      <c r="D10" s="13">
        <f>D8-D9</f>
        <v/>
      </c>
      <c r="E10" s="13">
        <f>E8-E9</f>
        <v/>
      </c>
      <c r="F10" s="13">
        <f>F8-F9</f>
        <v/>
      </c>
      <c r="G10" s="13">
        <f>G8-G9</f>
        <v/>
      </c>
      <c r="H10" s="13">
        <f>H8-H9</f>
        <v/>
      </c>
      <c r="I10" s="13">
        <f>I8-I9</f>
        <v/>
      </c>
      <c r="J10" s="13">
        <f>J8-J9</f>
        <v/>
      </c>
    </row>
    <row r="11">
      <c r="A11" s="7" t="inlineStr">
        <is>
          <t>Operating Expenses</t>
        </is>
      </c>
    </row>
    <row r="12">
      <c r="A12" t="inlineStr">
        <is>
          <t>SG&amp;A</t>
        </is>
      </c>
      <c r="B12" s="12">
        <f>B8*'Assumptions &amp; Drivers'!B15</f>
        <v/>
      </c>
      <c r="C12" s="12">
        <f>C8*'Assumptions &amp; Drivers'!C15</f>
        <v/>
      </c>
      <c r="D12" s="12">
        <f>D8*'Assumptions &amp; Drivers'!D15</f>
        <v/>
      </c>
      <c r="E12" s="12">
        <f>E8*'Assumptions &amp; Drivers'!E15</f>
        <v/>
      </c>
      <c r="F12" s="12">
        <f>F8*'Assumptions &amp; Drivers'!F15</f>
        <v/>
      </c>
      <c r="G12" s="12">
        <f>G8*'Assumptions &amp; Drivers'!G15</f>
        <v/>
      </c>
      <c r="H12" s="12">
        <f>H8*'Assumptions &amp; Drivers'!H15</f>
        <v/>
      </c>
      <c r="I12" s="12">
        <f>I8*'Assumptions &amp; Drivers'!I15</f>
        <v/>
      </c>
      <c r="J12" s="12">
        <f>J8*'Assumptions &amp; Drivers'!J15</f>
        <v/>
      </c>
    </row>
    <row r="13">
      <c r="A13" t="inlineStr">
        <is>
          <t>R&amp;D</t>
        </is>
      </c>
      <c r="B13" s="12">
        <f>B8*'Assumptions &amp; Drivers'!B16</f>
        <v/>
      </c>
      <c r="C13" s="12">
        <f>C8*'Assumptions &amp; Drivers'!C16</f>
        <v/>
      </c>
      <c r="D13" s="12">
        <f>D8*'Assumptions &amp; Drivers'!D16</f>
        <v/>
      </c>
      <c r="E13" s="12">
        <f>E8*'Assumptions &amp; Drivers'!E16</f>
        <v/>
      </c>
      <c r="F13" s="12">
        <f>F8*'Assumptions &amp; Drivers'!F16</f>
        <v/>
      </c>
      <c r="G13" s="12">
        <f>G8*'Assumptions &amp; Drivers'!G16</f>
        <v/>
      </c>
      <c r="H13" s="12">
        <f>H8*'Assumptions &amp; Drivers'!H16</f>
        <v/>
      </c>
      <c r="I13" s="12">
        <f>I8*'Assumptions &amp; Drivers'!I16</f>
        <v/>
      </c>
      <c r="J13" s="12">
        <f>J8*'Assumptions &amp; Drivers'!J16</f>
        <v/>
      </c>
    </row>
    <row r="14">
      <c r="A14" t="inlineStr">
        <is>
          <t>D&amp;A</t>
        </is>
      </c>
      <c r="B14" s="12">
        <f>B8*'Assumptions &amp; Drivers'!B17</f>
        <v/>
      </c>
      <c r="C14" s="12">
        <f>C8*'Assumptions &amp; Drivers'!C17</f>
        <v/>
      </c>
      <c r="D14" s="12">
        <f>D8*'Assumptions &amp; Drivers'!D17</f>
        <v/>
      </c>
      <c r="E14" s="12">
        <f>E8*'Assumptions &amp; Drivers'!E17</f>
        <v/>
      </c>
      <c r="F14" s="12">
        <f>F8*'Assumptions &amp; Drivers'!F17</f>
        <v/>
      </c>
      <c r="G14" s="12">
        <f>G8*'Assumptions &amp; Drivers'!G17</f>
        <v/>
      </c>
      <c r="H14" s="12">
        <f>H8*'Assumptions &amp; Drivers'!H17</f>
        <v/>
      </c>
      <c r="I14" s="12">
        <f>I8*'Assumptions &amp; Drivers'!I17</f>
        <v/>
      </c>
      <c r="J14" s="12">
        <f>J8*'Assumptions &amp; Drivers'!J17</f>
        <v/>
      </c>
    </row>
    <row r="15">
      <c r="A15" s="3" t="inlineStr">
        <is>
          <t>Total Operating Expenses</t>
        </is>
      </c>
      <c r="B15" s="13">
        <f>SUM(B12:B14)</f>
        <v/>
      </c>
      <c r="C15" s="13">
        <f>SUM(C12:C14)</f>
        <v/>
      </c>
      <c r="D15" s="13">
        <f>SUM(D12:D14)</f>
        <v/>
      </c>
      <c r="E15" s="13">
        <f>SUM(E12:E14)</f>
        <v/>
      </c>
      <c r="F15" s="13">
        <f>SUM(F12:F14)</f>
        <v/>
      </c>
      <c r="G15" s="13">
        <f>SUM(G12:G14)</f>
        <v/>
      </c>
      <c r="H15" s="13">
        <f>SUM(H12:H14)</f>
        <v/>
      </c>
      <c r="I15" s="13">
        <f>SUM(I12:I14)</f>
        <v/>
      </c>
      <c r="J15" s="13">
        <f>SUM(J12:J14)</f>
        <v/>
      </c>
    </row>
    <row r="16">
      <c r="A16" s="3" t="inlineStr">
        <is>
          <t>EBIT</t>
        </is>
      </c>
      <c r="B16" s="13">
        <f>B10-B15</f>
        <v/>
      </c>
      <c r="C16" s="13">
        <f>C10-C15</f>
        <v/>
      </c>
      <c r="D16" s="13">
        <f>D10-D15</f>
        <v/>
      </c>
      <c r="E16" s="13">
        <f>E10-E15</f>
        <v/>
      </c>
      <c r="F16" s="13">
        <f>F10-F15</f>
        <v/>
      </c>
      <c r="G16" s="13">
        <f>G10-G15</f>
        <v/>
      </c>
      <c r="H16" s="13">
        <f>H10-H15</f>
        <v/>
      </c>
      <c r="I16" s="13">
        <f>I10-I15</f>
        <v/>
      </c>
      <c r="J16" s="13">
        <f>J10-J15</f>
        <v/>
      </c>
    </row>
    <row r="17">
      <c r="A17" t="inlineStr">
        <is>
          <t>Interest Expense</t>
        </is>
      </c>
      <c r="B17" s="12">
        <f>'Balance Sheet'!B26*'Assumptions &amp; Drivers'!B31</f>
        <v/>
      </c>
      <c r="C17" s="12">
        <f>'Balance Sheet'!C26*'Assumptions &amp; Drivers'!C31</f>
        <v/>
      </c>
      <c r="D17" s="12">
        <f>'Balance Sheet'!D26*'Assumptions &amp; Drivers'!D31</f>
        <v/>
      </c>
      <c r="E17" s="12">
        <f>'Balance Sheet'!E26*'Assumptions &amp; Drivers'!E31</f>
        <v/>
      </c>
      <c r="F17" s="12">
        <f>'Balance Sheet'!F26*'Assumptions &amp; Drivers'!F31</f>
        <v/>
      </c>
      <c r="G17" s="12">
        <f>'Balance Sheet'!G26*'Assumptions &amp; Drivers'!G31</f>
        <v/>
      </c>
      <c r="H17" s="12">
        <f>'Balance Sheet'!H26*'Assumptions &amp; Drivers'!H31</f>
        <v/>
      </c>
      <c r="I17" s="12">
        <f>'Balance Sheet'!I26*'Assumptions &amp; Drivers'!I31</f>
        <v/>
      </c>
      <c r="J17" s="12">
        <f>'Balance Sheet'!J26*'Assumptions &amp; Drivers'!J31</f>
        <v/>
      </c>
    </row>
    <row r="18">
      <c r="A18" s="3" t="inlineStr">
        <is>
          <t>EBT</t>
        </is>
      </c>
      <c r="B18" s="13">
        <f>B16-B17</f>
        <v/>
      </c>
      <c r="C18" s="13">
        <f>C16-C17</f>
        <v/>
      </c>
      <c r="D18" s="13">
        <f>D16-D17</f>
        <v/>
      </c>
      <c r="E18" s="13">
        <f>E16-E17</f>
        <v/>
      </c>
      <c r="F18" s="13">
        <f>F16-F17</f>
        <v/>
      </c>
      <c r="G18" s="13">
        <f>G16-G17</f>
        <v/>
      </c>
      <c r="H18" s="13">
        <f>H16-H17</f>
        <v/>
      </c>
      <c r="I18" s="13">
        <f>I16-I17</f>
        <v/>
      </c>
      <c r="J18" s="13">
        <f>J16-J17</f>
        <v/>
      </c>
    </row>
    <row r="19">
      <c r="A19" t="inlineStr">
        <is>
          <t>Taxes</t>
        </is>
      </c>
      <c r="B19" s="12">
        <f>B18*'Assumptions &amp; Drivers'!B18</f>
        <v/>
      </c>
      <c r="C19" s="12">
        <f>C18*'Assumptions &amp; Drivers'!C18</f>
        <v/>
      </c>
      <c r="D19" s="12">
        <f>D18*'Assumptions &amp; Drivers'!D18</f>
        <v/>
      </c>
      <c r="E19" s="12">
        <f>E18*'Assumptions &amp; Drivers'!E18</f>
        <v/>
      </c>
      <c r="F19" s="12">
        <f>F18*'Assumptions &amp; Drivers'!F18</f>
        <v/>
      </c>
      <c r="G19" s="12">
        <f>G18*'Assumptions &amp; Drivers'!G18</f>
        <v/>
      </c>
      <c r="H19" s="12">
        <f>H18*'Assumptions &amp; Drivers'!H18</f>
        <v/>
      </c>
      <c r="I19" s="12">
        <f>I18*'Assumptions &amp; Drivers'!I18</f>
        <v/>
      </c>
      <c r="J19" s="12">
        <f>J18*'Assumptions &amp; Drivers'!J18</f>
        <v/>
      </c>
    </row>
    <row r="20">
      <c r="A20" s="7" t="inlineStr">
        <is>
          <t>Net Income</t>
        </is>
      </c>
      <c r="B20" s="13">
        <f>B18-B19</f>
        <v/>
      </c>
      <c r="C20" s="13">
        <f>C18-C19</f>
        <v/>
      </c>
      <c r="D20" s="13">
        <f>D18-D19</f>
        <v/>
      </c>
      <c r="E20" s="13">
        <f>E18-E19</f>
        <v/>
      </c>
      <c r="F20" s="13">
        <f>F18-F19</f>
        <v/>
      </c>
      <c r="G20" s="13">
        <f>G18-G19</f>
        <v/>
      </c>
      <c r="H20" s="13">
        <f>H18-H19</f>
        <v/>
      </c>
      <c r="I20" s="13">
        <f>I18-I19</f>
        <v/>
      </c>
      <c r="J20" s="13">
        <f>J18-J19</f>
        <v/>
      </c>
    </row>
    <row r="22">
      <c r="A22" s="7" t="inlineStr">
        <is>
          <t>KEY METRICS</t>
        </is>
      </c>
    </row>
    <row r="23">
      <c r="A23" s="3" t="inlineStr">
        <is>
          <t>EBITDA</t>
        </is>
      </c>
      <c r="B23" s="13">
        <f>B16+B14</f>
        <v/>
      </c>
      <c r="C23" s="13">
        <f>C16+C14</f>
        <v/>
      </c>
      <c r="D23" s="13">
        <f>D16+D14</f>
        <v/>
      </c>
      <c r="E23" s="13">
        <f>E16+E14</f>
        <v/>
      </c>
      <c r="F23" s="13">
        <f>F16+F14</f>
        <v/>
      </c>
      <c r="G23" s="13">
        <f>G16+G14</f>
        <v/>
      </c>
      <c r="H23" s="13">
        <f>H16+H14</f>
        <v/>
      </c>
      <c r="I23" s="13">
        <f>I16+I14</f>
        <v/>
      </c>
      <c r="J23" s="13">
        <f>J16+J14</f>
        <v/>
      </c>
    </row>
    <row r="24">
      <c r="A24" t="inlineStr">
        <is>
          <t>EBITDA Margin</t>
        </is>
      </c>
      <c r="B24" s="14">
        <f>B23/B8</f>
        <v/>
      </c>
      <c r="C24" s="14">
        <f>C23/C8</f>
        <v/>
      </c>
      <c r="D24" s="14">
        <f>D23/D8</f>
        <v/>
      </c>
      <c r="E24" s="14">
        <f>E23/E8</f>
        <v/>
      </c>
      <c r="F24" s="14">
        <f>F23/F8</f>
        <v/>
      </c>
      <c r="G24" s="14">
        <f>G23/G8</f>
        <v/>
      </c>
      <c r="H24" s="14">
        <f>H23/H8</f>
        <v/>
      </c>
      <c r="I24" s="14">
        <f>I23/I8</f>
        <v/>
      </c>
      <c r="J24" s="14">
        <f>J23/J8</f>
        <v/>
      </c>
    </row>
    <row r="25">
      <c r="A25" t="inlineStr">
        <is>
          <t>Net Income Margin</t>
        </is>
      </c>
      <c r="B25" s="14">
        <f>B20/B8</f>
        <v/>
      </c>
      <c r="C25" s="14">
        <f>C20/C8</f>
        <v/>
      </c>
      <c r="D25" s="14">
        <f>D20/D8</f>
        <v/>
      </c>
      <c r="E25" s="14">
        <f>E20/E8</f>
        <v/>
      </c>
      <c r="F25" s="14">
        <f>F20/F8</f>
        <v/>
      </c>
      <c r="G25" s="14">
        <f>G20/G8</f>
        <v/>
      </c>
      <c r="H25" s="14">
        <f>H20/H8</f>
        <v/>
      </c>
      <c r="I25" s="14">
        <f>I20/I8</f>
        <v/>
      </c>
      <c r="J25" s="14">
        <f>J20/J8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BALANCE SHEET</t>
        </is>
      </c>
    </row>
    <row r="2">
      <c r="A2" s="11" t="inlineStr">
        <is>
          <t>($ in millions)</t>
        </is>
      </c>
    </row>
    <row r="4">
      <c r="A4" s="3" t="inlineStr">
        <is>
          <t>Period Ending</t>
        </is>
      </c>
      <c r="B4" s="6" t="n">
        <v>2021</v>
      </c>
      <c r="C4" s="6" t="n">
        <v>2022</v>
      </c>
      <c r="D4" s="6" t="n">
        <v>2023</v>
      </c>
      <c r="E4" s="6" t="n">
        <v>2024</v>
      </c>
      <c r="F4" s="6" t="n">
        <v>2025</v>
      </c>
      <c r="G4" s="6" t="n">
        <v>2026</v>
      </c>
      <c r="H4" s="6" t="n">
        <v>2027</v>
      </c>
      <c r="I4" s="6" t="n">
        <v>2028</v>
      </c>
      <c r="J4" s="6" t="n">
        <v>2029</v>
      </c>
    </row>
    <row r="5">
      <c r="A5" s="7" t="inlineStr">
        <is>
          <t>ASSETS</t>
        </is>
      </c>
    </row>
    <row r="6">
      <c r="A6" s="3" t="inlineStr">
        <is>
          <t>Current Assets</t>
        </is>
      </c>
    </row>
    <row r="7">
      <c r="A7" t="inlineStr">
        <is>
          <t>Cash</t>
        </is>
      </c>
      <c r="B7" s="12">
        <f>'Assumptions &amp; Drivers'!B33</f>
        <v/>
      </c>
      <c r="C7" s="12">
        <f>'Cash Flow'!C32</f>
        <v/>
      </c>
      <c r="D7" s="12">
        <f>'Cash Flow'!D32</f>
        <v/>
      </c>
      <c r="E7" s="12">
        <f>'Cash Flow'!E32</f>
        <v/>
      </c>
      <c r="F7" s="12">
        <f>'Cash Flow'!F32</f>
        <v/>
      </c>
      <c r="G7" s="12">
        <f>'Cash Flow'!G32</f>
        <v/>
      </c>
      <c r="H7" s="12">
        <f>'Cash Flow'!H32</f>
        <v/>
      </c>
      <c r="I7" s="12">
        <f>'Cash Flow'!I32</f>
        <v/>
      </c>
      <c r="J7" s="12">
        <f>'Cash Flow'!J32</f>
        <v/>
      </c>
    </row>
    <row r="8">
      <c r="A8" t="inlineStr">
        <is>
          <t>Accounts Receivable</t>
        </is>
      </c>
      <c r="B8" s="12">
        <f>'Income Statement'!B7*'Assumptions &amp; Drivers'!B21/365</f>
        <v/>
      </c>
      <c r="C8" s="12">
        <f>'Income Statement'!C7*'Assumptions &amp; Drivers'!C21/365</f>
        <v/>
      </c>
      <c r="D8" s="12">
        <f>'Income Statement'!D7*'Assumptions &amp; Drivers'!D21/365</f>
        <v/>
      </c>
      <c r="E8" s="12">
        <f>'Income Statement'!E7*'Assumptions &amp; Drivers'!E21/365</f>
        <v/>
      </c>
      <c r="F8" s="12">
        <f>'Income Statement'!F7*'Assumptions &amp; Drivers'!F21/365</f>
        <v/>
      </c>
      <c r="G8" s="12">
        <f>'Income Statement'!G7*'Assumptions &amp; Drivers'!G21/365</f>
        <v/>
      </c>
      <c r="H8" s="12">
        <f>'Income Statement'!H7*'Assumptions &amp; Drivers'!H21/365</f>
        <v/>
      </c>
      <c r="I8" s="12">
        <f>'Income Statement'!I7*'Assumptions &amp; Drivers'!I21/365</f>
        <v/>
      </c>
      <c r="J8" s="12">
        <f>'Income Statement'!J7*'Assumptions &amp; Drivers'!J21/365</f>
        <v/>
      </c>
    </row>
    <row r="9">
      <c r="A9" t="inlineStr">
        <is>
          <t>Inventory</t>
        </is>
      </c>
      <c r="B9" s="12">
        <f>'Income Statement'!B8*'Assumptions &amp; Drivers'!B22/365</f>
        <v/>
      </c>
      <c r="C9" s="12">
        <f>'Income Statement'!C8*'Assumptions &amp; Drivers'!C22/365</f>
        <v/>
      </c>
      <c r="D9" s="12">
        <f>'Income Statement'!D8*'Assumptions &amp; Drivers'!D22/365</f>
        <v/>
      </c>
      <c r="E9" s="12">
        <f>'Income Statement'!E8*'Assumptions &amp; Drivers'!E22/365</f>
        <v/>
      </c>
      <c r="F9" s="12">
        <f>'Income Statement'!F8*'Assumptions &amp; Drivers'!F22/365</f>
        <v/>
      </c>
      <c r="G9" s="12">
        <f>'Income Statement'!G8*'Assumptions &amp; Drivers'!G22/365</f>
        <v/>
      </c>
      <c r="H9" s="12">
        <f>'Income Statement'!H8*'Assumptions &amp; Drivers'!H22/365</f>
        <v/>
      </c>
      <c r="I9" s="12">
        <f>'Income Statement'!I8*'Assumptions &amp; Drivers'!I22/365</f>
        <v/>
      </c>
      <c r="J9" s="12">
        <f>'Income Statement'!J8*'Assumptions &amp; Drivers'!J22/365</f>
        <v/>
      </c>
    </row>
    <row r="10">
      <c r="A10" t="inlineStr">
        <is>
          <t>Other Current Assets</t>
        </is>
      </c>
      <c r="B10" s="12">
        <f>'Income Statement'!B7*'Assumptions &amp; Drivers'!B24</f>
        <v/>
      </c>
      <c r="C10" s="12">
        <f>'Income Statement'!C7*'Assumptions &amp; Drivers'!C24</f>
        <v/>
      </c>
      <c r="D10" s="12">
        <f>'Income Statement'!D7*'Assumptions &amp; Drivers'!D24</f>
        <v/>
      </c>
      <c r="E10" s="12">
        <f>'Income Statement'!E7*'Assumptions &amp; Drivers'!E24</f>
        <v/>
      </c>
      <c r="F10" s="12">
        <f>'Income Statement'!F7*'Assumptions &amp; Drivers'!F24</f>
        <v/>
      </c>
      <c r="G10" s="12">
        <f>'Income Statement'!G7*'Assumptions &amp; Drivers'!G24</f>
        <v/>
      </c>
      <c r="H10" s="12">
        <f>'Income Statement'!H7*'Assumptions &amp; Drivers'!H24</f>
        <v/>
      </c>
      <c r="I10" s="12">
        <f>'Income Statement'!I7*'Assumptions &amp; Drivers'!I24</f>
        <v/>
      </c>
      <c r="J10" s="12">
        <f>'Income Statement'!J7*'Assumptions &amp; Drivers'!J24</f>
        <v/>
      </c>
    </row>
    <row r="11">
      <c r="A11" s="3" t="inlineStr">
        <is>
          <t>Total Current Assets</t>
        </is>
      </c>
      <c r="B11" s="13">
        <f>SUM(B7:B10)</f>
        <v/>
      </c>
      <c r="C11" s="13">
        <f>SUM(C7:C10)</f>
        <v/>
      </c>
      <c r="D11" s="13">
        <f>SUM(D7:D10)</f>
        <v/>
      </c>
      <c r="E11" s="13">
        <f>SUM(E7:E10)</f>
        <v/>
      </c>
      <c r="F11" s="13">
        <f>SUM(F7:F10)</f>
        <v/>
      </c>
      <c r="G11" s="13">
        <f>SUM(G7:G10)</f>
        <v/>
      </c>
      <c r="H11" s="13">
        <f>SUM(H7:H10)</f>
        <v/>
      </c>
      <c r="I11" s="13">
        <f>SUM(I7:I10)</f>
        <v/>
      </c>
      <c r="J11" s="13">
        <f>SUM(J7:J10)</f>
        <v/>
      </c>
    </row>
    <row r="12">
      <c r="A12" t="inlineStr">
        <is>
          <t>PP&amp;E, Net</t>
        </is>
      </c>
      <c r="B12" s="12">
        <f>'Assumptions &amp; Drivers'!B34</f>
        <v/>
      </c>
      <c r="C12" s="12">
        <f>B12+'Cash Flow'!C18-'Income Statement'!C13</f>
        <v/>
      </c>
      <c r="D12" s="12">
        <f>C12+'Cash Flow'!D18-'Income Statement'!D13</f>
        <v/>
      </c>
      <c r="E12" s="12">
        <f>D12+'Cash Flow'!E18-'Income Statement'!E13</f>
        <v/>
      </c>
      <c r="F12" s="12">
        <f>E12+'Cash Flow'!F18-'Income Statement'!F13</f>
        <v/>
      </c>
      <c r="G12" s="12">
        <f>F12+'Cash Flow'!G18-'Income Statement'!G13</f>
        <v/>
      </c>
      <c r="H12" s="12">
        <f>G12+'Cash Flow'!H18-'Income Statement'!H13</f>
        <v/>
      </c>
      <c r="I12" s="12">
        <f>H12+'Cash Flow'!I18-'Income Statement'!I13</f>
        <v/>
      </c>
      <c r="J12" s="12">
        <f>I12+'Cash Flow'!J18-'Income Statement'!J13</f>
        <v/>
      </c>
    </row>
    <row r="13">
      <c r="A13" s="7" t="inlineStr">
        <is>
          <t>Total Assets</t>
        </is>
      </c>
      <c r="B13" s="13">
        <f>B11+B12</f>
        <v/>
      </c>
      <c r="C13" s="13">
        <f>C11+C12</f>
        <v/>
      </c>
      <c r="D13" s="13">
        <f>D11+D12</f>
        <v/>
      </c>
      <c r="E13" s="13">
        <f>E11+E12</f>
        <v/>
      </c>
      <c r="F13" s="13">
        <f>F11+F12</f>
        <v/>
      </c>
      <c r="G13" s="13">
        <f>G11+G12</f>
        <v/>
      </c>
      <c r="H13" s="13">
        <f>H11+H12</f>
        <v/>
      </c>
      <c r="I13" s="13">
        <f>I11+I12</f>
        <v/>
      </c>
      <c r="J13" s="13">
        <f>J11+J12</f>
        <v/>
      </c>
    </row>
    <row r="15">
      <c r="A15" s="7" t="inlineStr">
        <is>
          <t>LIABILITIES &amp; EQUITY</t>
        </is>
      </c>
    </row>
    <row r="16">
      <c r="A16" s="3" t="inlineStr">
        <is>
          <t>Current Liabilities</t>
        </is>
      </c>
    </row>
    <row r="17">
      <c r="A17" t="inlineStr">
        <is>
          <t>Accounts Payable</t>
        </is>
      </c>
      <c r="B17" s="12">
        <f>'Income Statement'!B8*'Assumptions &amp; Drivers'!B23/365</f>
        <v/>
      </c>
      <c r="C17" s="12">
        <f>'Income Statement'!C8*'Assumptions &amp; Drivers'!C23/365</f>
        <v/>
      </c>
      <c r="D17" s="12">
        <f>'Income Statement'!D8*'Assumptions &amp; Drivers'!D23/365</f>
        <v/>
      </c>
      <c r="E17" s="12">
        <f>'Income Statement'!E8*'Assumptions &amp; Drivers'!E23/365</f>
        <v/>
      </c>
      <c r="F17" s="12">
        <f>'Income Statement'!F8*'Assumptions &amp; Drivers'!F23/365</f>
        <v/>
      </c>
      <c r="G17" s="12">
        <f>'Income Statement'!G8*'Assumptions &amp; Drivers'!G23/365</f>
        <v/>
      </c>
      <c r="H17" s="12">
        <f>'Income Statement'!H8*'Assumptions &amp; Drivers'!H23/365</f>
        <v/>
      </c>
      <c r="I17" s="12">
        <f>'Income Statement'!I8*'Assumptions &amp; Drivers'!I23/365</f>
        <v/>
      </c>
      <c r="J17" s="12">
        <f>'Income Statement'!J8*'Assumptions &amp; Drivers'!J23/365</f>
        <v/>
      </c>
    </row>
    <row r="18">
      <c r="A18" t="inlineStr">
        <is>
          <t>Other Current Liabilities</t>
        </is>
      </c>
      <c r="B18" s="12">
        <f>'Income Statement'!B7*'Assumptions &amp; Drivers'!B25</f>
        <v/>
      </c>
      <c r="C18" s="12">
        <f>'Income Statement'!C7*'Assumptions &amp; Drivers'!C25</f>
        <v/>
      </c>
      <c r="D18" s="12">
        <f>'Income Statement'!D7*'Assumptions &amp; Drivers'!D25</f>
        <v/>
      </c>
      <c r="E18" s="12">
        <f>'Income Statement'!E7*'Assumptions &amp; Drivers'!E25</f>
        <v/>
      </c>
      <c r="F18" s="12">
        <f>'Income Statement'!F7*'Assumptions &amp; Drivers'!F25</f>
        <v/>
      </c>
      <c r="G18" s="12">
        <f>'Income Statement'!G7*'Assumptions &amp; Drivers'!G25</f>
        <v/>
      </c>
      <c r="H18" s="12">
        <f>'Income Statement'!H7*'Assumptions &amp; Drivers'!H25</f>
        <v/>
      </c>
      <c r="I18" s="12">
        <f>'Income Statement'!I7*'Assumptions &amp; Drivers'!I25</f>
        <v/>
      </c>
      <c r="J18" s="12">
        <f>'Income Statement'!J7*'Assumptions &amp; Drivers'!J25</f>
        <v/>
      </c>
    </row>
    <row r="19">
      <c r="A19" s="3" t="inlineStr">
        <is>
          <t>Total Current Liabilities</t>
        </is>
      </c>
      <c r="B19" s="13">
        <f>SUM(B17:B18)</f>
        <v/>
      </c>
      <c r="C19" s="13">
        <f>SUM(C17:C18)</f>
        <v/>
      </c>
      <c r="D19" s="13">
        <f>SUM(D17:D18)</f>
        <v/>
      </c>
      <c r="E19" s="13">
        <f>SUM(E17:E18)</f>
        <v/>
      </c>
      <c r="F19" s="13">
        <f>SUM(F17:F18)</f>
        <v/>
      </c>
      <c r="G19" s="13">
        <f>SUM(G17:G18)</f>
        <v/>
      </c>
      <c r="H19" s="13">
        <f>SUM(H17:H18)</f>
        <v/>
      </c>
      <c r="I19" s="13">
        <f>SUM(I17:I18)</f>
        <v/>
      </c>
      <c r="J19" s="13">
        <f>SUM(J17:J18)</f>
        <v/>
      </c>
    </row>
    <row r="20">
      <c r="A20" t="inlineStr">
        <is>
          <t>Revolver / Debt</t>
        </is>
      </c>
      <c r="B20" s="12">
        <f>'Assumptions &amp; Drivers'!B30</f>
        <v/>
      </c>
      <c r="C20" s="12">
        <f>'Cash Flow'!C30</f>
        <v/>
      </c>
      <c r="D20" s="12">
        <f>'Cash Flow'!D30</f>
        <v/>
      </c>
      <c r="E20" s="12">
        <f>'Cash Flow'!E30</f>
        <v/>
      </c>
      <c r="F20" s="12">
        <f>'Cash Flow'!F30</f>
        <v/>
      </c>
      <c r="G20" s="12">
        <f>'Cash Flow'!G30</f>
        <v/>
      </c>
      <c r="H20" s="12">
        <f>'Cash Flow'!H30</f>
        <v/>
      </c>
      <c r="I20" s="12">
        <f>'Cash Flow'!I30</f>
        <v/>
      </c>
      <c r="J20" s="12">
        <f>'Cash Flow'!J30</f>
        <v/>
      </c>
    </row>
    <row r="21">
      <c r="A21" s="3" t="inlineStr">
        <is>
          <t>Total Liabilities</t>
        </is>
      </c>
      <c r="B21" s="13">
        <f>B19+B20</f>
        <v/>
      </c>
      <c r="C21" s="13">
        <f>C19+C20</f>
        <v/>
      </c>
      <c r="D21" s="13">
        <f>D19+D20</f>
        <v/>
      </c>
      <c r="E21" s="13">
        <f>E19+E20</f>
        <v/>
      </c>
      <c r="F21" s="13">
        <f>F19+F20</f>
        <v/>
      </c>
      <c r="G21" s="13">
        <f>G19+G20</f>
        <v/>
      </c>
      <c r="H21" s="13">
        <f>H19+H20</f>
        <v/>
      </c>
      <c r="I21" s="13">
        <f>I19+I20</f>
        <v/>
      </c>
      <c r="J21" s="13">
        <f>J19+J20</f>
        <v/>
      </c>
    </row>
    <row r="22">
      <c r="A22" t="inlineStr">
        <is>
          <t>Shareholders' Equity</t>
        </is>
      </c>
      <c r="B22" s="12">
        <f>'Assumptions &amp; Drivers'!B32</f>
        <v/>
      </c>
      <c r="C22" s="12">
        <f>B22+'Income Statement'!C19</f>
        <v/>
      </c>
      <c r="D22" s="12">
        <f>C22+'Income Statement'!D19</f>
        <v/>
      </c>
      <c r="E22" s="12">
        <f>D22+'Income Statement'!E19</f>
        <v/>
      </c>
      <c r="F22" s="12">
        <f>E22+'Income Statement'!F19</f>
        <v/>
      </c>
      <c r="G22" s="12">
        <f>F22+'Income Statement'!G19</f>
        <v/>
      </c>
      <c r="H22" s="12">
        <f>G22+'Income Statement'!H19</f>
        <v/>
      </c>
      <c r="I22" s="12">
        <f>H22+'Income Statement'!I19</f>
        <v/>
      </c>
      <c r="J22" s="12">
        <f>I22+'Income Statement'!J19</f>
        <v/>
      </c>
    </row>
    <row r="23">
      <c r="A23" s="7" t="inlineStr">
        <is>
          <t>Total Liabilities &amp; Equity</t>
        </is>
      </c>
      <c r="B23" s="13">
        <f>B21+B22</f>
        <v/>
      </c>
      <c r="C23" s="13">
        <f>C21+C22</f>
        <v/>
      </c>
      <c r="D23" s="13">
        <f>D21+D22</f>
        <v/>
      </c>
      <c r="E23" s="13">
        <f>E21+E22</f>
        <v/>
      </c>
      <c r="F23" s="13">
        <f>F21+F22</f>
        <v/>
      </c>
      <c r="G23" s="13">
        <f>G21+G22</f>
        <v/>
      </c>
      <c r="H23" s="13">
        <f>H21+H22</f>
        <v/>
      </c>
      <c r="I23" s="13">
        <f>I21+I22</f>
        <v/>
      </c>
      <c r="J23" s="13">
        <f>J21+J22</f>
        <v/>
      </c>
    </row>
    <row r="25">
      <c r="A25" s="3" t="inlineStr">
        <is>
          <t>Balance Check</t>
        </is>
      </c>
      <c r="B25" s="12">
        <f>B13-B23</f>
        <v/>
      </c>
      <c r="C25" s="12">
        <f>C13-C23</f>
        <v/>
      </c>
      <c r="D25" s="12">
        <f>D13-D23</f>
        <v/>
      </c>
      <c r="E25" s="12">
        <f>E13-E23</f>
        <v/>
      </c>
      <c r="F25" s="12">
        <f>F13-F23</f>
        <v/>
      </c>
      <c r="G25" s="12">
        <f>G13-G23</f>
        <v/>
      </c>
      <c r="H25" s="12">
        <f>H13-H23</f>
        <v/>
      </c>
      <c r="I25" s="12">
        <f>I13-I23</f>
        <v/>
      </c>
      <c r="J25" s="12">
        <f>J13-J23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CASH FLOW STATEMENT</t>
        </is>
      </c>
    </row>
    <row r="2">
      <c r="A2" s="11" t="inlineStr">
        <is>
          <t>($ in millions)</t>
        </is>
      </c>
    </row>
    <row r="4">
      <c r="A4" s="3" t="inlineStr">
        <is>
          <t>Period</t>
        </is>
      </c>
      <c r="B4" s="6" t="n">
        <v>2021</v>
      </c>
      <c r="C4" s="6" t="n">
        <v>2022</v>
      </c>
      <c r="D4" s="6" t="n">
        <v>2023</v>
      </c>
      <c r="E4" s="6" t="n">
        <v>2024</v>
      </c>
      <c r="F4" s="6" t="n">
        <v>2025</v>
      </c>
      <c r="G4" s="6" t="n">
        <v>2026</v>
      </c>
      <c r="H4" s="6" t="n">
        <v>2027</v>
      </c>
      <c r="I4" s="6" t="n">
        <v>2028</v>
      </c>
      <c r="J4" s="6" t="n">
        <v>2029</v>
      </c>
    </row>
    <row r="5">
      <c r="A5" s="7" t="inlineStr">
        <is>
          <t>OPERATING ACTIVITIES</t>
        </is>
      </c>
    </row>
    <row r="6">
      <c r="A6" t="inlineStr">
        <is>
          <t>Net Income</t>
        </is>
      </c>
      <c r="B6" s="12">
        <f>'Income Statement'!B19</f>
        <v/>
      </c>
      <c r="C6" s="12">
        <f>'Income Statement'!C19</f>
        <v/>
      </c>
      <c r="D6" s="12">
        <f>'Income Statement'!D19</f>
        <v/>
      </c>
      <c r="E6" s="12">
        <f>'Income Statement'!E19</f>
        <v/>
      </c>
      <c r="F6" s="12">
        <f>'Income Statement'!F19</f>
        <v/>
      </c>
      <c r="G6" s="12">
        <f>'Income Statement'!G19</f>
        <v/>
      </c>
      <c r="H6" s="12">
        <f>'Income Statement'!H19</f>
        <v/>
      </c>
      <c r="I6" s="12">
        <f>'Income Statement'!I19</f>
        <v/>
      </c>
      <c r="J6" s="12">
        <f>'Income Statement'!J19</f>
        <v/>
      </c>
    </row>
    <row r="7">
      <c r="A7" t="inlineStr">
        <is>
          <t>D&amp;A</t>
        </is>
      </c>
      <c r="B7" s="12">
        <f>'Income Statement'!B13</f>
        <v/>
      </c>
      <c r="C7" s="12">
        <f>'Income Statement'!C13</f>
        <v/>
      </c>
      <c r="D7" s="12">
        <f>'Income Statement'!D13</f>
        <v/>
      </c>
      <c r="E7" s="12">
        <f>'Income Statement'!E13</f>
        <v/>
      </c>
      <c r="F7" s="12">
        <f>'Income Statement'!F13</f>
        <v/>
      </c>
      <c r="G7" s="12">
        <f>'Income Statement'!G13</f>
        <v/>
      </c>
      <c r="H7" s="12">
        <f>'Income Statement'!H13</f>
        <v/>
      </c>
      <c r="I7" s="12">
        <f>'Income Statement'!I13</f>
        <v/>
      </c>
      <c r="J7" s="12">
        <f>'Income Statement'!J13</f>
        <v/>
      </c>
    </row>
    <row r="8">
      <c r="A8" s="3" t="inlineStr">
        <is>
          <t>Changes in Working Capital:</t>
        </is>
      </c>
    </row>
    <row r="9">
      <c r="A9" t="inlineStr">
        <is>
          <t>Change in AR</t>
        </is>
      </c>
      <c r="B9" s="12" t="n">
        <v>0</v>
      </c>
      <c r="C9" s="12">
        <f>-('Balance Sheet'!C8-'Balance Sheet'!B8)</f>
        <v/>
      </c>
      <c r="D9" s="12">
        <f>-('Balance Sheet'!D8-'Balance Sheet'!C8)</f>
        <v/>
      </c>
      <c r="E9" s="12">
        <f>-('Balance Sheet'!E8-'Balance Sheet'!D8)</f>
        <v/>
      </c>
      <c r="F9" s="12">
        <f>-('Balance Sheet'!F8-'Balance Sheet'!E8)</f>
        <v/>
      </c>
      <c r="G9" s="12">
        <f>-('Balance Sheet'!G8-'Balance Sheet'!F8)</f>
        <v/>
      </c>
      <c r="H9" s="12">
        <f>-('Balance Sheet'!H8-'Balance Sheet'!G8)</f>
        <v/>
      </c>
      <c r="I9" s="12">
        <f>-('Balance Sheet'!I8-'Balance Sheet'!H8)</f>
        <v/>
      </c>
      <c r="J9" s="12">
        <f>-('Balance Sheet'!J8-'Balance Sheet'!I8)</f>
        <v/>
      </c>
    </row>
    <row r="10">
      <c r="A10" t="inlineStr">
        <is>
          <t>Change in Inventory</t>
        </is>
      </c>
      <c r="B10" s="12" t="n">
        <v>0</v>
      </c>
      <c r="C10" s="12">
        <f>-('Balance Sheet'!C9-'Balance Sheet'!B9)</f>
        <v/>
      </c>
      <c r="D10" s="12">
        <f>-('Balance Sheet'!D9-'Balance Sheet'!C9)</f>
        <v/>
      </c>
      <c r="E10" s="12">
        <f>-('Balance Sheet'!E9-'Balance Sheet'!D9)</f>
        <v/>
      </c>
      <c r="F10" s="12">
        <f>-('Balance Sheet'!F9-'Balance Sheet'!E9)</f>
        <v/>
      </c>
      <c r="G10" s="12">
        <f>-('Balance Sheet'!G9-'Balance Sheet'!F9)</f>
        <v/>
      </c>
      <c r="H10" s="12">
        <f>-('Balance Sheet'!H9-'Balance Sheet'!G9)</f>
        <v/>
      </c>
      <c r="I10" s="12">
        <f>-('Balance Sheet'!I9-'Balance Sheet'!H9)</f>
        <v/>
      </c>
      <c r="J10" s="12">
        <f>-('Balance Sheet'!J9-'Balance Sheet'!I9)</f>
        <v/>
      </c>
    </row>
    <row r="11">
      <c r="A11" t="inlineStr">
        <is>
          <t>Change in Other Current Assets</t>
        </is>
      </c>
      <c r="B11" s="12" t="n">
        <v>0</v>
      </c>
      <c r="C11" s="12">
        <f>-('Balance Sheet'!C10-'Balance Sheet'!B10)</f>
        <v/>
      </c>
      <c r="D11" s="12">
        <f>-('Balance Sheet'!D10-'Balance Sheet'!C10)</f>
        <v/>
      </c>
      <c r="E11" s="12">
        <f>-('Balance Sheet'!E10-'Balance Sheet'!D10)</f>
        <v/>
      </c>
      <c r="F11" s="12">
        <f>-('Balance Sheet'!F10-'Balance Sheet'!E10)</f>
        <v/>
      </c>
      <c r="G11" s="12">
        <f>-('Balance Sheet'!G10-'Balance Sheet'!F10)</f>
        <v/>
      </c>
      <c r="H11" s="12">
        <f>-('Balance Sheet'!H10-'Balance Sheet'!G10)</f>
        <v/>
      </c>
      <c r="I11" s="12">
        <f>-('Balance Sheet'!I10-'Balance Sheet'!H10)</f>
        <v/>
      </c>
      <c r="J11" s="12">
        <f>-('Balance Sheet'!J10-'Balance Sheet'!I10)</f>
        <v/>
      </c>
    </row>
    <row r="12">
      <c r="A12" t="inlineStr">
        <is>
          <t>Change in AP</t>
        </is>
      </c>
      <c r="B12" s="12" t="n">
        <v>0</v>
      </c>
      <c r="C12" s="12">
        <f>'Balance Sheet'!C19-'Balance Sheet'!B19</f>
        <v/>
      </c>
      <c r="D12" s="12">
        <f>'Balance Sheet'!D19-'Balance Sheet'!C19</f>
        <v/>
      </c>
      <c r="E12" s="12">
        <f>'Balance Sheet'!E19-'Balance Sheet'!D19</f>
        <v/>
      </c>
      <c r="F12" s="12">
        <f>'Balance Sheet'!F19-'Balance Sheet'!E19</f>
        <v/>
      </c>
      <c r="G12" s="12">
        <f>'Balance Sheet'!G19-'Balance Sheet'!F19</f>
        <v/>
      </c>
      <c r="H12" s="12">
        <f>'Balance Sheet'!H19-'Balance Sheet'!G19</f>
        <v/>
      </c>
      <c r="I12" s="12">
        <f>'Balance Sheet'!I19-'Balance Sheet'!H19</f>
        <v/>
      </c>
      <c r="J12" s="12">
        <f>'Balance Sheet'!J19-'Balance Sheet'!I19</f>
        <v/>
      </c>
    </row>
    <row r="13">
      <c r="A13" t="inlineStr">
        <is>
          <t>Change in Other Current Liab</t>
        </is>
      </c>
      <c r="B13" s="12" t="n">
        <v>0</v>
      </c>
      <c r="C13" s="12">
        <f>'Balance Sheet'!C20-'Balance Sheet'!B20</f>
        <v/>
      </c>
      <c r="D13" s="12">
        <f>'Balance Sheet'!D20-'Balance Sheet'!C20</f>
        <v/>
      </c>
      <c r="E13" s="12">
        <f>'Balance Sheet'!E20-'Balance Sheet'!D20</f>
        <v/>
      </c>
      <c r="F13" s="12">
        <f>'Balance Sheet'!F20-'Balance Sheet'!E20</f>
        <v/>
      </c>
      <c r="G13" s="12">
        <f>'Balance Sheet'!G20-'Balance Sheet'!F20</f>
        <v/>
      </c>
      <c r="H13" s="12">
        <f>'Balance Sheet'!H20-'Balance Sheet'!G20</f>
        <v/>
      </c>
      <c r="I13" s="12">
        <f>'Balance Sheet'!I20-'Balance Sheet'!H20</f>
        <v/>
      </c>
      <c r="J13" s="12">
        <f>'Balance Sheet'!J20-'Balance Sheet'!I20</f>
        <v/>
      </c>
    </row>
    <row r="14">
      <c r="A14" s="3" t="inlineStr">
        <is>
          <t>Cash from Operations</t>
        </is>
      </c>
      <c r="B14" s="13">
        <f>SUM(B6:B13)</f>
        <v/>
      </c>
      <c r="C14" s="13">
        <f>SUM(C6:C13)</f>
        <v/>
      </c>
      <c r="D14" s="13">
        <f>SUM(D6:D13)</f>
        <v/>
      </c>
      <c r="E14" s="13">
        <f>SUM(E6:E13)</f>
        <v/>
      </c>
      <c r="F14" s="13">
        <f>SUM(F6:F13)</f>
        <v/>
      </c>
      <c r="G14" s="13">
        <f>SUM(G6:G13)</f>
        <v/>
      </c>
      <c r="H14" s="13">
        <f>SUM(H6:H13)</f>
        <v/>
      </c>
      <c r="I14" s="13">
        <f>SUM(I6:I13)</f>
        <v/>
      </c>
      <c r="J14" s="13">
        <f>SUM(J6:J13)</f>
        <v/>
      </c>
    </row>
    <row r="16">
      <c r="A16" s="7" t="inlineStr">
        <is>
          <t>INVESTING ACTIVITIES</t>
        </is>
      </c>
    </row>
    <row r="17">
      <c r="A17" t="inlineStr">
        <is>
          <t>CapEx</t>
        </is>
      </c>
      <c r="B17" s="12">
        <f>-('Income Statement'!B7*'Assumptions &amp; Drivers'!B26)</f>
        <v/>
      </c>
      <c r="C17" s="12">
        <f>-('Income Statement'!C7*'Assumptions &amp; Drivers'!C26)</f>
        <v/>
      </c>
      <c r="D17" s="12">
        <f>-('Income Statement'!D7*'Assumptions &amp; Drivers'!D26)</f>
        <v/>
      </c>
      <c r="E17" s="12">
        <f>-('Income Statement'!E7*'Assumptions &amp; Drivers'!E26)</f>
        <v/>
      </c>
      <c r="F17" s="12">
        <f>-('Income Statement'!F7*'Assumptions &amp; Drivers'!F26)</f>
        <v/>
      </c>
      <c r="G17" s="12">
        <f>-('Income Statement'!G7*'Assumptions &amp; Drivers'!G26)</f>
        <v/>
      </c>
      <c r="H17" s="12">
        <f>-('Income Statement'!H7*'Assumptions &amp; Drivers'!H26)</f>
        <v/>
      </c>
      <c r="I17" s="12">
        <f>-('Income Statement'!I7*'Assumptions &amp; Drivers'!I26)</f>
        <v/>
      </c>
      <c r="J17" s="12">
        <f>-('Income Statement'!J7*'Assumptions &amp; Drivers'!J26)</f>
        <v/>
      </c>
    </row>
    <row r="18">
      <c r="A18" s="3" t="inlineStr">
        <is>
          <t>Cash from Investing</t>
        </is>
      </c>
      <c r="B18" s="13">
        <f>B17</f>
        <v/>
      </c>
      <c r="C18" s="13">
        <f>C17</f>
        <v/>
      </c>
      <c r="D18" s="13">
        <f>D17</f>
        <v/>
      </c>
      <c r="E18" s="13">
        <f>E17</f>
        <v/>
      </c>
      <c r="F18" s="13">
        <f>F17</f>
        <v/>
      </c>
      <c r="G18" s="13">
        <f>G17</f>
        <v/>
      </c>
      <c r="H18" s="13">
        <f>H17</f>
        <v/>
      </c>
      <c r="I18" s="13">
        <f>I17</f>
        <v/>
      </c>
      <c r="J18" s="13">
        <f>J17</f>
        <v/>
      </c>
    </row>
    <row r="20">
      <c r="A20" s="7" t="inlineStr">
        <is>
          <t>FINANCING ACTIVITIES</t>
        </is>
      </c>
    </row>
    <row r="21">
      <c r="A21" t="inlineStr">
        <is>
          <t>Net Borrowing / (Repayment)</t>
        </is>
      </c>
      <c r="B21" s="12" t="n">
        <v>0</v>
      </c>
      <c r="C21" s="12">
        <f>'Balance Sheet'!C26-'Balance Sheet'!B26</f>
        <v/>
      </c>
      <c r="D21" s="12">
        <f>'Balance Sheet'!D26-'Balance Sheet'!C26</f>
        <v/>
      </c>
      <c r="E21" s="12">
        <f>'Balance Sheet'!E26-'Balance Sheet'!D26</f>
        <v/>
      </c>
      <c r="F21" s="12">
        <f>'Balance Sheet'!F26-'Balance Sheet'!E26</f>
        <v/>
      </c>
      <c r="G21" s="12">
        <f>'Balance Sheet'!G26-'Balance Sheet'!F26</f>
        <v/>
      </c>
      <c r="H21" s="12">
        <f>'Balance Sheet'!H26-'Balance Sheet'!G26</f>
        <v/>
      </c>
      <c r="I21" s="12">
        <f>'Balance Sheet'!I26-'Balance Sheet'!H26</f>
        <v/>
      </c>
      <c r="J21" s="12">
        <f>'Balance Sheet'!J26-'Balance Sheet'!I26</f>
        <v/>
      </c>
    </row>
    <row r="22">
      <c r="A22" s="3" t="inlineStr">
        <is>
          <t>Cash from Financing</t>
        </is>
      </c>
      <c r="B22" s="13">
        <f>B21</f>
        <v/>
      </c>
      <c r="C22" s="13">
        <f>C21</f>
        <v/>
      </c>
      <c r="D22" s="13">
        <f>D21</f>
        <v/>
      </c>
      <c r="E22" s="13">
        <f>E21</f>
        <v/>
      </c>
      <c r="F22" s="13">
        <f>F21</f>
        <v/>
      </c>
      <c r="G22" s="13">
        <f>G21</f>
        <v/>
      </c>
      <c r="H22" s="13">
        <f>H21</f>
        <v/>
      </c>
      <c r="I22" s="13">
        <f>I21</f>
        <v/>
      </c>
      <c r="J22" s="13">
        <f>J21</f>
        <v/>
      </c>
    </row>
    <row r="24">
      <c r="A24" s="3" t="inlineStr">
        <is>
          <t>Net Change in Cash</t>
        </is>
      </c>
      <c r="B24" s="13">
        <f>B14+B18+B22</f>
        <v/>
      </c>
      <c r="C24" s="13">
        <f>C14+C18+C22</f>
        <v/>
      </c>
      <c r="D24" s="13">
        <f>D14+D18+D22</f>
        <v/>
      </c>
      <c r="E24" s="13">
        <f>E14+E18+E22</f>
        <v/>
      </c>
      <c r="F24" s="13">
        <f>F14+F18+F22</f>
        <v/>
      </c>
      <c r="G24" s="13">
        <f>G14+G18+G22</f>
        <v/>
      </c>
      <c r="H24" s="13">
        <f>H14+H18+H22</f>
        <v/>
      </c>
      <c r="I24" s="13">
        <f>I14+I18+I22</f>
        <v/>
      </c>
      <c r="J24" s="13">
        <f>J14+J18+J22</f>
        <v/>
      </c>
    </row>
    <row r="25">
      <c r="A25" t="inlineStr">
        <is>
          <t>Beginning Cash</t>
        </is>
      </c>
      <c r="B25" s="12">
        <f>'Assumptions &amp; Drivers'!B33</f>
        <v/>
      </c>
      <c r="C25" s="12">
        <f>B26</f>
        <v/>
      </c>
      <c r="D25" s="12">
        <f>C26</f>
        <v/>
      </c>
      <c r="E25" s="12">
        <f>D26</f>
        <v/>
      </c>
      <c r="F25" s="12">
        <f>E26</f>
        <v/>
      </c>
      <c r="G25" s="12">
        <f>F26</f>
        <v/>
      </c>
      <c r="H25" s="12">
        <f>G26</f>
        <v/>
      </c>
      <c r="I25" s="12">
        <f>H26</f>
        <v/>
      </c>
      <c r="J25" s="12">
        <f>I26</f>
        <v/>
      </c>
    </row>
    <row r="26">
      <c r="A26" t="inlineStr">
        <is>
          <t>Ending Cash (before revolver)</t>
        </is>
      </c>
      <c r="B26" s="12">
        <f>B25+B24</f>
        <v/>
      </c>
      <c r="C26" s="12">
        <f>C25+C24</f>
        <v/>
      </c>
      <c r="D26" s="12">
        <f>D25+D24</f>
        <v/>
      </c>
      <c r="E26" s="12">
        <f>E25+E24</f>
        <v/>
      </c>
      <c r="F26" s="12">
        <f>F25+F24</f>
        <v/>
      </c>
      <c r="G26" s="12">
        <f>G25+G24</f>
        <v/>
      </c>
      <c r="H26" s="12">
        <f>H25+H24</f>
        <v/>
      </c>
      <c r="I26" s="12">
        <f>I25+I24</f>
        <v/>
      </c>
      <c r="J26" s="12">
        <f>J25+J24</f>
        <v/>
      </c>
    </row>
    <row r="28">
      <c r="A28" s="7" t="inlineStr">
        <is>
          <t>REVOLVER LOGIC</t>
        </is>
      </c>
    </row>
    <row r="29">
      <c r="A29" t="inlineStr">
        <is>
          <t>Beginning Debt</t>
        </is>
      </c>
      <c r="B29" s="12">
        <f>'Assumptions &amp; Drivers'!B30</f>
        <v/>
      </c>
      <c r="C29" s="12">
        <f>B30</f>
        <v/>
      </c>
      <c r="D29" s="12">
        <f>C30</f>
        <v/>
      </c>
      <c r="E29" s="12">
        <f>D30</f>
        <v/>
      </c>
      <c r="F29" s="12">
        <f>E30</f>
        <v/>
      </c>
      <c r="G29" s="12">
        <f>F30</f>
        <v/>
      </c>
      <c r="H29" s="12">
        <f>G30</f>
        <v/>
      </c>
      <c r="I29" s="12">
        <f>H30</f>
        <v/>
      </c>
      <c r="J29" s="12">
        <f>I30</f>
        <v/>
      </c>
    </row>
    <row r="30">
      <c r="A30" t="inlineStr">
        <is>
          <t>Ending Debt</t>
        </is>
      </c>
      <c r="B30" s="12">
        <f>MAX(0,B29-B26)</f>
        <v/>
      </c>
      <c r="C30" s="12">
        <f>MAX(0,C29-C26)</f>
        <v/>
      </c>
      <c r="D30" s="12">
        <f>MAX(0,D29-D26)</f>
        <v/>
      </c>
      <c r="E30" s="12">
        <f>MAX(0,E29-E26)</f>
        <v/>
      </c>
      <c r="F30" s="12">
        <f>MAX(0,F29-F26)</f>
        <v/>
      </c>
      <c r="G30" s="12">
        <f>MAX(0,G29-G26)</f>
        <v/>
      </c>
      <c r="H30" s="12">
        <f>MAX(0,H29-H26)</f>
        <v/>
      </c>
      <c r="I30" s="12">
        <f>MAX(0,I29-I26)</f>
        <v/>
      </c>
      <c r="J30" s="12">
        <f>MAX(0,J29-J26)</f>
        <v/>
      </c>
    </row>
    <row r="31">
      <c r="A31" s="3" t="inlineStr">
        <is>
          <t>Ending Cash</t>
        </is>
      </c>
      <c r="B31" s="13">
        <f>B26+B29-B30</f>
        <v/>
      </c>
      <c r="C31" s="13">
        <f>C26+C29-C30</f>
        <v/>
      </c>
      <c r="D31" s="13">
        <f>D26+D29-D30</f>
        <v/>
      </c>
      <c r="E31" s="13">
        <f>E26+E29-E30</f>
        <v/>
      </c>
      <c r="F31" s="13">
        <f>F26+F29-F30</f>
        <v/>
      </c>
      <c r="G31" s="13">
        <f>G26+G29-G30</f>
        <v/>
      </c>
      <c r="H31" s="13">
        <f>H26+H29-H30</f>
        <v/>
      </c>
      <c r="I31" s="13">
        <f>I26+I29-I30</f>
        <v/>
      </c>
      <c r="J31" s="13">
        <f>J26+J29-J30</f>
        <v/>
      </c>
    </row>
    <row r="33">
      <c r="A33" s="7" t="inlineStr">
        <is>
          <t>KEY METRICS</t>
        </is>
      </c>
    </row>
    <row r="34">
      <c r="A34" s="3" t="inlineStr">
        <is>
          <t>Free Cash Flow</t>
        </is>
      </c>
      <c r="B34" s="13">
        <f>B14+B17</f>
        <v/>
      </c>
      <c r="C34" s="13">
        <f>C14+C17</f>
        <v/>
      </c>
      <c r="D34" s="13">
        <f>D14+D17</f>
        <v/>
      </c>
      <c r="E34" s="13">
        <f>E14+E17</f>
        <v/>
      </c>
      <c r="F34" s="13">
        <f>F14+F17</f>
        <v/>
      </c>
      <c r="G34" s="13">
        <f>G14+G17</f>
        <v/>
      </c>
      <c r="H34" s="13">
        <f>H14+H17</f>
        <v/>
      </c>
      <c r="I34" s="13">
        <f>I14+I17</f>
        <v/>
      </c>
      <c r="J34" s="13">
        <f>J14+J17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KEY CHARTS &amp; VISUALIZATIONS</t>
        </is>
      </c>
    </row>
    <row r="3">
      <c r="A3" s="15" t="inlineStr">
        <is>
          <t>Year</t>
        </is>
      </c>
      <c r="B3" s="15" t="inlineStr">
        <is>
          <t>Revenue</t>
        </is>
      </c>
      <c r="C3" s="15" t="inlineStr">
        <is>
          <t>EBITDA</t>
        </is>
      </c>
      <c r="D3" s="15" t="inlineStr">
        <is>
          <t>Free Cash Flow</t>
        </is>
      </c>
    </row>
    <row r="4">
      <c r="A4" t="n">
        <v>2021</v>
      </c>
      <c r="B4" s="12">
        <f>'Income Statement'!B7</f>
        <v/>
      </c>
      <c r="C4" s="12">
        <f>'Income Statement'!B22</f>
        <v/>
      </c>
      <c r="D4" s="12">
        <f>'Cash Flow'!B36</f>
        <v/>
      </c>
    </row>
    <row r="5">
      <c r="A5" t="n">
        <v>2022</v>
      </c>
      <c r="B5" s="12">
        <f>'Income Statement'!C7</f>
        <v/>
      </c>
      <c r="C5" s="12">
        <f>'Income Statement'!C22</f>
        <v/>
      </c>
      <c r="D5" s="12">
        <f>'Cash Flow'!C36</f>
        <v/>
      </c>
    </row>
    <row r="6">
      <c r="A6" t="n">
        <v>2023</v>
      </c>
      <c r="B6" s="12">
        <f>'Income Statement'!D7</f>
        <v/>
      </c>
      <c r="C6" s="12">
        <f>'Income Statement'!D22</f>
        <v/>
      </c>
      <c r="D6" s="12">
        <f>'Cash Flow'!D36</f>
        <v/>
      </c>
    </row>
    <row r="7">
      <c r="A7" t="n">
        <v>2024</v>
      </c>
      <c r="B7" s="12">
        <f>'Income Statement'!E7</f>
        <v/>
      </c>
      <c r="C7" s="12">
        <f>'Income Statement'!E22</f>
        <v/>
      </c>
      <c r="D7" s="12">
        <f>'Cash Flow'!E36</f>
        <v/>
      </c>
    </row>
    <row r="8">
      <c r="A8" t="n">
        <v>2025</v>
      </c>
      <c r="B8" s="12">
        <f>'Income Statement'!F7</f>
        <v/>
      </c>
      <c r="C8" s="12">
        <f>'Income Statement'!F22</f>
        <v/>
      </c>
      <c r="D8" s="12">
        <f>'Cash Flow'!F36</f>
        <v/>
      </c>
    </row>
    <row r="9">
      <c r="A9" t="n">
        <v>2026</v>
      </c>
      <c r="B9" s="12">
        <f>'Income Statement'!G7</f>
        <v/>
      </c>
      <c r="C9" s="12">
        <f>'Income Statement'!G22</f>
        <v/>
      </c>
      <c r="D9" s="12">
        <f>'Cash Flow'!G36</f>
        <v/>
      </c>
    </row>
    <row r="10">
      <c r="A10" t="n">
        <v>2027</v>
      </c>
      <c r="B10" s="12">
        <f>'Income Statement'!H7</f>
        <v/>
      </c>
      <c r="C10" s="12">
        <f>'Income Statement'!H22</f>
        <v/>
      </c>
      <c r="D10" s="12">
        <f>'Cash Flow'!H36</f>
        <v/>
      </c>
    </row>
    <row r="11">
      <c r="A11" t="n">
        <v>2028</v>
      </c>
      <c r="B11" s="12">
        <f>'Income Statement'!I7</f>
        <v/>
      </c>
      <c r="C11" s="12">
        <f>'Income Statement'!I22</f>
        <v/>
      </c>
      <c r="D11" s="12">
        <f>'Cash Flow'!I36</f>
        <v/>
      </c>
    </row>
    <row r="12">
      <c r="A12" t="n">
        <v>2029</v>
      </c>
      <c r="B12" s="12">
        <f>'Income Statement'!J7</f>
        <v/>
      </c>
      <c r="C12" s="12">
        <f>'Income Statement'!J22</f>
        <v/>
      </c>
      <c r="D12" s="12">
        <f>'Cash Flow'!J36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2026-01-19T02:47:19Z</dcterms:created>
  <dcterms:modified xsi:type="dcterms:W3CDTF">2026-01-19T02:47:19Z</dcterms:modified>
</cp:coreProperties>
</file>