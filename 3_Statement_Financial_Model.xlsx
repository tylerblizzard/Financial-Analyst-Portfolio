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Drivers" sheetId="1" state="visible" r:id="rId1"/>
    <sheet name="Summary" sheetId="2" state="visible" r:id="rId2"/>
    <sheet name="Income Statement" sheetId="3" state="visible" r:id="rId3"/>
    <sheet name="Balance Sheet" sheetId="4" state="visible" r:id="rId4"/>
    <sheet name="Debt Schedule" sheetId="5" state="visible" r:id="rId5"/>
    <sheet name="Cash Flow" sheetId="6" state="visible" r:id="rId6"/>
    <sheet name="DCF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x"/>
    <numFmt numFmtId="167" formatCode="0.0"/>
    <numFmt numFmtId="168" formatCode="0.000"/>
    <numFmt numFmtId="169" formatCode="$#,##0.00"/>
  </numFmts>
  <fonts count="15">
    <font>
      <name val="Calibri"/>
      <family val="2"/>
      <color theme="1"/>
      <sz val="11"/>
      <scheme val="minor"/>
    </font>
    <font>
      <b val="1"/>
      <color rgb="004472C4"/>
      <sz val="16"/>
    </font>
    <font>
      <b val="1"/>
      <sz val="14"/>
    </font>
    <font>
      <b val="1"/>
    </font>
    <font>
      <b val="1"/>
      <color rgb="000000FF"/>
    </font>
    <font>
      <b val="1"/>
      <color rgb="00FFFFFF"/>
    </font>
    <font>
      <i val="1"/>
    </font>
    <font>
      <i val="1"/>
      <sz val="9"/>
    </font>
    <font>
      <b val="1"/>
      <color rgb="00006100"/>
    </font>
    <font>
      <b val="1"/>
      <color rgb="00006100"/>
      <sz val="12"/>
    </font>
    <font>
      <b val="1"/>
      <color rgb="000000FF"/>
      <sz val="12"/>
    </font>
    <font>
      <b val="1"/>
      <sz val="12"/>
    </font>
    <font>
      <i val="1"/>
      <sz val="12"/>
    </font>
    <font>
      <b val="1"/>
      <color rgb="004472C4"/>
      <sz val="14"/>
    </font>
    <font>
      <b val="1"/>
      <color rgb="004472C4"/>
      <sz val="12"/>
    </font>
  </fonts>
  <fills count="5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3" fillId="4" borderId="0" pivotButton="0" quotePrefix="0" xfId="0"/>
    <xf numFmtId="164" fontId="4" fillId="2" borderId="0" pivotButton="0" quotePrefix="0" xfId="0"/>
    <xf numFmtId="165" fontId="4" fillId="2" borderId="0" pivotButton="0" quotePrefix="0" xfId="0"/>
    <xf numFmtId="1" fontId="4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0" fontId="3" fillId="3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9" fontId="0" fillId="0" borderId="0" pivotButton="0" quotePrefix="0" xfId="0"/>
    <xf numFmtId="169" fontId="3" fillId="0" borderId="0" pivotButton="0" quotePrefix="0" xfId="0"/>
    <xf numFmtId="166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165" fontId="3" fillId="0" borderId="0" pivotButton="0" quotePrefix="0" xfId="0"/>
    <xf numFmtId="165" fontId="13" fillId="0" borderId="0" pivotButton="0" quotePrefix="0" xfId="0"/>
    <xf numFmtId="0" fontId="3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164" fontId="14" fillId="0" borderId="0" pivotButton="0" quotePrefix="0" xfId="0"/>
    <xf numFmtId="169" fontId="13" fillId="0" borderId="0" pivotButton="0" quotePrefix="0" xfId="0"/>
    <xf numFmtId="165" fontId="3" fillId="4" borderId="0" pivotButton="0" quotePrefix="0" xfId="0"/>
    <xf numFmtId="166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Growth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'Summary'!$B$18:$B$26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Trend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'Summary'!$C$18:$C$26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Free Cash Flow ($mm)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'Summary'!$A$18:$A$26</f>
            </numRef>
          </cat>
          <val>
            <numRef>
              <f>'Summary'!$D$18:$D$26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35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3-STATEMENT FINANCIAL MODEL</t>
        </is>
      </c>
    </row>
    <row r="2">
      <c r="A2" s="2" t="inlineStr">
        <is>
          <t>ASSUMPTIONS &amp; DRIVERS</t>
        </is>
      </c>
    </row>
    <row r="4">
      <c r="A4" s="3" t="inlineStr">
        <is>
          <t>Scenario Selection:</t>
        </is>
      </c>
      <c r="B4" s="4" t="inlineStr">
        <is>
          <t>Base</t>
        </is>
      </c>
    </row>
    <row r="5">
      <c r="A5" s="16" t="inlineStr">
        <is>
          <t>(Change to Base, Upside, or Downside)</t>
        </is>
      </c>
    </row>
    <row r="6">
      <c r="A6" s="5" t="inlineStr">
        <is>
          <t>INPUTS (in $mm)</t>
        </is>
      </c>
      <c r="B6" s="6" t="n">
        <v>2021</v>
      </c>
      <c r="C6" s="6" t="n">
        <v>2022</v>
      </c>
      <c r="D6" s="6" t="n">
        <v>2023</v>
      </c>
      <c r="E6" s="6" t="n">
        <v>2024</v>
      </c>
      <c r="F6" s="6" t="n">
        <v>2025</v>
      </c>
      <c r="G6" s="6" t="n">
        <v>2026</v>
      </c>
      <c r="H6" s="6" t="n">
        <v>2027</v>
      </c>
      <c r="I6" s="6" t="n">
        <v>2028</v>
      </c>
      <c r="J6" s="6" t="n">
        <v>2029</v>
      </c>
    </row>
    <row r="7">
      <c r="A7" s="7" t="inlineStr">
        <is>
          <t>REVENUE ASSUMPTIONS</t>
        </is>
      </c>
    </row>
    <row r="8">
      <c r="A8" t="inlineStr">
        <is>
          <t>Product Revenue (Historical)</t>
        </is>
      </c>
      <c r="B8" s="8" t="n">
        <v>100</v>
      </c>
      <c r="C8" s="8" t="n">
        <v>110</v>
      </c>
      <c r="D8" s="8" t="n">
        <v>125</v>
      </c>
      <c r="E8" s="8" t="n">
        <v>140</v>
      </c>
    </row>
    <row r="9">
      <c r="A9" t="inlineStr">
        <is>
          <t>Service Revenue (Historical)</t>
        </is>
      </c>
      <c r="B9" s="8" t="n">
        <v>50</v>
      </c>
      <c r="C9" s="8" t="n">
        <v>55</v>
      </c>
      <c r="D9" s="8" t="n">
        <v>62</v>
      </c>
      <c r="E9" s="8" t="n">
        <v>70</v>
      </c>
    </row>
    <row r="10">
      <c r="A10" t="inlineStr">
        <is>
          <t>Product Revenue Growth %</t>
        </is>
      </c>
      <c r="F10" s="9">
        <f>IF($B$4="Base",0.08,IF($B$4="Upside",0.12,0.05))</f>
        <v/>
      </c>
      <c r="G10" s="9">
        <f>IF($B$4="Base",0.06,IF($B$4="Upside",0.10,0.03))</f>
        <v/>
      </c>
      <c r="H10" s="9">
        <f>IF($B$4="Base",0.06,IF($B$4="Upside",0.10,0.03))</f>
        <v/>
      </c>
      <c r="I10" s="9">
        <f>IF($B$4="Base",0.06,IF($B$4="Upside",0.10,0.03))</f>
        <v/>
      </c>
      <c r="J10" s="9">
        <f>IF($B$4="Base",0.06,IF($B$4="Upside",0.10,0.03))</f>
        <v/>
      </c>
    </row>
    <row r="11">
      <c r="A11" s="5" t="inlineStr">
        <is>
          <t>SCENARIO ASSUMPTIONS</t>
        </is>
      </c>
      <c r="F11" s="9">
        <f>IF($B$4="Base",0.10,IF($B$4="Upside",0.15,0.07))</f>
        <v/>
      </c>
      <c r="G11" s="9">
        <f>IF($B$4="Base",0.08,IF($B$4="Upside",0.12,0.05))</f>
        <v/>
      </c>
      <c r="H11" s="9">
        <f>IF($B$4="Base",0.08,IF($B$4="Upside",0.12,0.05))</f>
        <v/>
      </c>
      <c r="I11" s="9">
        <f>IF($B$4="Base",0.08,IF($B$4="Upside",0.12,0.05))</f>
        <v/>
      </c>
      <c r="J11" s="9">
        <f>IF($B$4="Base",0.08,IF($B$4="Upside",0.12,0.05))</f>
        <v/>
      </c>
    </row>
    <row r="12">
      <c r="A12" s="7" t="inlineStr">
        <is>
          <t>Assumption</t>
        </is>
      </c>
      <c r="B12" s="7" t="inlineStr">
        <is>
          <t>Base</t>
        </is>
      </c>
      <c r="C12" s="7" t="inlineStr">
        <is>
          <t>Upside</t>
        </is>
      </c>
      <c r="D12" s="7" t="inlineStr">
        <is>
          <t>Downside</t>
        </is>
      </c>
      <c r="E12" s="7" t="inlineStr">
        <is>
          <t>SELECTED →</t>
        </is>
      </c>
    </row>
    <row r="13">
      <c r="A13" s="7" t="inlineStr">
        <is>
          <t>Product Growth % (2025)</t>
        </is>
      </c>
      <c r="B13" s="9" t="n">
        <v>0.08</v>
      </c>
      <c r="C13" s="9" t="n">
        <v>0.12</v>
      </c>
      <c r="D13" s="9" t="n">
        <v>0.05</v>
      </c>
      <c r="E13" s="14">
        <f>IF($B$4="Base",B13,IF($B$4="Upside",C13,D13))</f>
        <v/>
      </c>
    </row>
    <row r="14">
      <c r="A14" t="inlineStr">
        <is>
          <t>Product Growth % (2026+)</t>
        </is>
      </c>
      <c r="B14" s="9" t="n">
        <v>0.06</v>
      </c>
      <c r="C14" s="9" t="n">
        <v>0.1</v>
      </c>
      <c r="D14" s="9" t="n">
        <v>0.03</v>
      </c>
      <c r="E14" s="9">
        <f>IF($B$4="Base",B14,IF($B$4="Upside",C14,D14))</f>
        <v/>
      </c>
      <c r="F14" s="9">
        <f>IF($B$4="Base",0.67,IF($B$4="Upside",0.70,0.64))</f>
        <v/>
      </c>
      <c r="G14" s="9">
        <f>IF($B$4="Base",0.67,IF($B$4="Upside",0.70,0.64))</f>
        <v/>
      </c>
      <c r="H14" s="9">
        <f>IF($B$4="Base",0.67,IF($B$4="Upside",0.70,0.64))</f>
        <v/>
      </c>
      <c r="I14" s="9">
        <f>IF($B$4="Base",0.67,IF($B$4="Upside",0.70,0.64))</f>
        <v/>
      </c>
      <c r="J14" s="9">
        <f>IF($B$4="Base",0.67,IF($B$4="Upside",0.70,0.64))</f>
        <v/>
      </c>
    </row>
    <row r="15">
      <c r="A15" t="inlineStr">
        <is>
          <t>Service Growth % (2025)</t>
        </is>
      </c>
      <c r="B15" s="9" t="n">
        <v>0.1</v>
      </c>
      <c r="C15" s="9" t="n">
        <v>0.15</v>
      </c>
      <c r="D15" s="9" t="n">
        <v>0.07000000000000001</v>
      </c>
      <c r="E15" s="9">
        <f>IF($B$4="Base",B15,IF($B$4="Upside",C15,D15))</f>
        <v/>
      </c>
      <c r="F15" s="9">
        <f>IF($B$4="Base",0.24,IF($B$4="Upside",0.23,0.26))</f>
        <v/>
      </c>
      <c r="G15" s="9">
        <f>IF($B$4="Base",0.24,IF($B$4="Upside",0.23,0.26))</f>
        <v/>
      </c>
      <c r="H15" s="9">
        <f>IF($B$4="Base",0.24,IF($B$4="Upside",0.23,0.26))</f>
        <v/>
      </c>
      <c r="I15" s="9">
        <f>IF($B$4="Base",0.24,IF($B$4="Upside",0.23,0.26))</f>
        <v/>
      </c>
      <c r="J15" s="9">
        <f>IF($B$4="Base",0.24,IF($B$4="Upside",0.23,0.26))</f>
        <v/>
      </c>
    </row>
    <row r="16">
      <c r="A16" t="inlineStr">
        <is>
          <t>Service Growth % (2026+)</t>
        </is>
      </c>
      <c r="B16" s="9" t="n">
        <v>0.08</v>
      </c>
      <c r="C16" s="9" t="n">
        <v>0.12</v>
      </c>
      <c r="D16" s="9" t="n">
        <v>0.05</v>
      </c>
      <c r="E16" s="9">
        <f>IF($B$4="Base",B16,IF($B$4="Upside",C16,D16))</f>
        <v/>
      </c>
      <c r="F16" s="9">
        <f>IF($B$4="Base",0.12,IF($B$4="Upside",0.13,0.10))</f>
        <v/>
      </c>
      <c r="G16" s="9">
        <f>IF($B$4="Base",0.12,IF($B$4="Upside",0.13,0.10))</f>
        <v/>
      </c>
      <c r="H16" s="9">
        <f>IF($B$4="Base",0.12,IF($B$4="Upside",0.13,0.10))</f>
        <v/>
      </c>
      <c r="I16" s="9">
        <f>IF($B$4="Base",0.12,IF($B$4="Upside",0.13,0.10))</f>
        <v/>
      </c>
      <c r="J16" s="9">
        <f>IF($B$4="Base",0.12,IF($B$4="Upside",0.13,0.10))</f>
        <v/>
      </c>
    </row>
    <row r="17">
      <c r="A17" t="inlineStr">
        <is>
          <t>Gross Margin % (Forecast)</t>
        </is>
      </c>
      <c r="B17" s="9" t="n">
        <v>0.67</v>
      </c>
      <c r="C17" s="9" t="n">
        <v>0.7</v>
      </c>
      <c r="D17" s="9" t="n">
        <v>0.64</v>
      </c>
      <c r="E17" s="9">
        <f>IF($B$4="Base",B17,IF($B$4="Upside",C17,D17))</f>
        <v/>
      </c>
      <c r="F17" s="9" t="n">
        <v>0.05</v>
      </c>
      <c r="G17" s="9" t="n">
        <v>0.05</v>
      </c>
      <c r="H17" s="9" t="n">
        <v>0.05</v>
      </c>
      <c r="I17" s="9" t="n">
        <v>0.05</v>
      </c>
      <c r="J17" s="9" t="n">
        <v>0.05</v>
      </c>
    </row>
    <row r="18">
      <c r="A18" t="inlineStr">
        <is>
          <t>SG&amp;A % (Forecast)</t>
        </is>
      </c>
      <c r="B18" s="9" t="n">
        <v>0.24</v>
      </c>
      <c r="C18" s="9" t="n">
        <v>0.23</v>
      </c>
      <c r="D18" s="9" t="n">
        <v>0.26</v>
      </c>
      <c r="E18" s="9">
        <f>IF($B$4="Base",B18,IF($B$4="Upside",C18,D18))</f>
        <v/>
      </c>
      <c r="F18" s="9" t="n">
        <v>0.25</v>
      </c>
      <c r="G18" s="9" t="n">
        <v>0.25</v>
      </c>
      <c r="H18" s="9" t="n">
        <v>0.25</v>
      </c>
      <c r="I18" s="9" t="n">
        <v>0.25</v>
      </c>
      <c r="J18" s="9" t="n">
        <v>0.25</v>
      </c>
    </row>
    <row r="19">
      <c r="A19" t="inlineStr">
        <is>
          <t>R&amp;D % (Forecast)</t>
        </is>
      </c>
      <c r="B19" s="9" t="n">
        <v>0.12</v>
      </c>
      <c r="C19" s="9" t="n">
        <v>0.13</v>
      </c>
      <c r="D19" s="9" t="n">
        <v>0.1</v>
      </c>
      <c r="E19" s="14">
        <f>IF($B$4="Base",B19,IF($B$4="Upside",C19,D19))</f>
        <v/>
      </c>
    </row>
    <row r="20">
      <c r="A20" s="7" t="inlineStr">
        <is>
          <t>CapEx % (Forecast)</t>
        </is>
      </c>
      <c r="B20" s="9" t="n">
        <v>0.07000000000000001</v>
      </c>
      <c r="C20" s="9" t="n">
        <v>0.09</v>
      </c>
      <c r="D20" s="9" t="n">
        <v>0.06</v>
      </c>
      <c r="E20" s="14">
        <f>IF($B$4="Base",B20,IF($B$4="Upside",C20,D20))</f>
        <v/>
      </c>
    </row>
    <row r="21">
      <c r="A21" t="inlineStr">
        <is>
          <t>AR Days (Forecast)</t>
        </is>
      </c>
      <c r="B21" s="10" t="n">
        <v>45</v>
      </c>
      <c r="C21" s="10" t="n">
        <v>42</v>
      </c>
      <c r="D21" s="10" t="n">
        <v>48</v>
      </c>
      <c r="E21" s="10">
        <f>IF($B$4="Base",B21,IF($B$4="Upside",C21,D21))</f>
        <v/>
      </c>
      <c r="F21" s="10" t="n">
        <v>45</v>
      </c>
      <c r="G21" s="10" t="n">
        <v>45</v>
      </c>
      <c r="H21" s="10" t="n">
        <v>45</v>
      </c>
      <c r="I21" s="10" t="n">
        <v>45</v>
      </c>
      <c r="J21" s="10" t="n">
        <v>45</v>
      </c>
    </row>
    <row r="22">
      <c r="A22" t="inlineStr">
        <is>
          <t>Inventory Days (Forecast)</t>
        </is>
      </c>
      <c r="B22" s="10" t="n">
        <v>60</v>
      </c>
      <c r="C22" s="10" t="n">
        <v>55</v>
      </c>
      <c r="D22" s="10" t="n">
        <v>65</v>
      </c>
      <c r="E22" s="10">
        <f>IF($B$4="Base",B22,IF($B$4="Upside",C22,D22))</f>
        <v/>
      </c>
      <c r="F22" s="10" t="n">
        <v>60</v>
      </c>
      <c r="G22" s="10" t="n">
        <v>60</v>
      </c>
      <c r="H22" s="10" t="n">
        <v>60</v>
      </c>
      <c r="I22" s="10" t="n">
        <v>60</v>
      </c>
      <c r="J22" s="10" t="n">
        <v>60</v>
      </c>
    </row>
    <row r="23">
      <c r="A23" t="inlineStr">
        <is>
          <t>AP Days (Forecast)</t>
        </is>
      </c>
      <c r="B23" s="10" t="n">
        <v>30</v>
      </c>
      <c r="C23" s="10" t="n">
        <v>35</v>
      </c>
      <c r="D23" s="10" t="n">
        <v>28</v>
      </c>
      <c r="E23" s="10">
        <f>IF($B$4="Base",B23,IF($B$4="Upside",C23,D23))</f>
        <v/>
      </c>
      <c r="F23" s="10" t="n">
        <v>30</v>
      </c>
      <c r="G23" s="10" t="n">
        <v>30</v>
      </c>
      <c r="H23" s="10" t="n">
        <v>30</v>
      </c>
      <c r="I23" s="10" t="n">
        <v>30</v>
      </c>
      <c r="J23" s="10" t="n">
        <v>30</v>
      </c>
    </row>
    <row r="24">
      <c r="A24" t="inlineStr">
        <is>
          <t>Other Current Assets % of Rev</t>
        </is>
      </c>
      <c r="B24" s="9" t="n">
        <v>0.03</v>
      </c>
      <c r="C24" s="9" t="n">
        <v>0.03</v>
      </c>
      <c r="D24" s="9" t="n">
        <v>0.03</v>
      </c>
      <c r="E24" s="9" t="n">
        <v>0.03</v>
      </c>
      <c r="F24" s="9" t="n">
        <v>0.03</v>
      </c>
      <c r="G24" s="9" t="n">
        <v>0.03</v>
      </c>
      <c r="H24" s="9" t="n">
        <v>0.03</v>
      </c>
      <c r="I24" s="9" t="n">
        <v>0.03</v>
      </c>
      <c r="J24" s="9" t="n">
        <v>0.03</v>
      </c>
    </row>
    <row r="25">
      <c r="A25" s="5" t="inlineStr">
        <is>
          <t>FIXED ASSUMPTIONS</t>
        </is>
      </c>
      <c r="B25" s="9" t="n">
        <v>0.02</v>
      </c>
      <c r="C25" s="9" t="n">
        <v>0.02</v>
      </c>
      <c r="D25" s="9" t="n">
        <v>0.02</v>
      </c>
      <c r="E25" s="9" t="n">
        <v>0.02</v>
      </c>
      <c r="F25" s="9" t="n">
        <v>0.02</v>
      </c>
      <c r="G25" s="9" t="n">
        <v>0.02</v>
      </c>
      <c r="H25" s="9" t="n">
        <v>0.02</v>
      </c>
      <c r="I25" s="9" t="n">
        <v>0.02</v>
      </c>
      <c r="J25" s="9" t="n">
        <v>0.02</v>
      </c>
    </row>
    <row r="26">
      <c r="A26" t="inlineStr">
        <is>
          <t>Gross Margin % (Historical)</t>
        </is>
      </c>
      <c r="B26" s="9" t="n">
        <v>0.65</v>
      </c>
      <c r="C26" s="9" t="n">
        <v>0.08</v>
      </c>
      <c r="D26" s="9" t="n">
        <v>0.08</v>
      </c>
      <c r="E26" s="9" t="n">
        <v>0.08</v>
      </c>
      <c r="F26" s="9">
        <f>IF($B$4="Base",0.07,IF($B$4="Upside",0.09,0.06))</f>
        <v/>
      </c>
      <c r="G26" s="9">
        <f>IF($B$4="Base",0.07,IF($B$4="Upside",0.09,0.06))</f>
        <v/>
      </c>
      <c r="H26" s="9">
        <f>IF($B$4="Base",0.07,IF($B$4="Upside",0.09,0.06))</f>
        <v/>
      </c>
      <c r="I26" s="9">
        <f>IF($B$4="Base",0.07,IF($B$4="Upside",0.09,0.06))</f>
        <v/>
      </c>
      <c r="J26" s="9">
        <f>IF($B$4="Base",0.07,IF($B$4="Upside",0.09,0.06))</f>
        <v/>
      </c>
    </row>
    <row r="27">
      <c r="A27" t="inlineStr">
        <is>
          <t>SG&amp;A % (Historical)</t>
        </is>
      </c>
      <c r="B27" s="9" t="n">
        <v>0.25</v>
      </c>
    </row>
    <row r="28">
      <c r="A28" s="7" t="inlineStr">
        <is>
          <t>R&amp;D % (Historical)</t>
        </is>
      </c>
      <c r="B28" s="9" t="n">
        <v>0.12</v>
      </c>
    </row>
    <row r="29">
      <c r="A29" t="inlineStr">
        <is>
          <t>D&amp;A % of Revenue</t>
        </is>
      </c>
      <c r="B29" s="9" t="n">
        <v>0.05</v>
      </c>
    </row>
    <row r="30">
      <c r="A30" t="inlineStr">
        <is>
          <t>Tax Rate</t>
        </is>
      </c>
      <c r="B30" s="9" t="n">
        <v>0.25</v>
      </c>
      <c r="C30" s="9" t="n">
        <v>0.05</v>
      </c>
      <c r="D30" s="9" t="n">
        <v>0.05</v>
      </c>
      <c r="E30" s="9" t="n">
        <v>0.05</v>
      </c>
      <c r="F30" s="9" t="n">
        <v>0.05</v>
      </c>
      <c r="G30" s="9" t="n">
        <v>0.05</v>
      </c>
      <c r="H30" s="9" t="n">
        <v>0.05</v>
      </c>
      <c r="I30" s="9" t="n">
        <v>0.05</v>
      </c>
      <c r="J30" s="9" t="n">
        <v>0.05</v>
      </c>
    </row>
    <row r="31">
      <c r="A31" t="inlineStr">
        <is>
          <t>AR Days (Historical)</t>
        </is>
      </c>
      <c r="B31" s="10" t="n">
        <v>45</v>
      </c>
    </row>
    <row r="32">
      <c r="A32" t="inlineStr">
        <is>
          <t>Inventory Days (Historical)</t>
        </is>
      </c>
      <c r="B32" s="10" t="n">
        <v>60</v>
      </c>
    </row>
    <row r="33">
      <c r="A33" t="inlineStr">
        <is>
          <t>AP Days (Historical)</t>
        </is>
      </c>
      <c r="B33" s="10" t="n">
        <v>30</v>
      </c>
    </row>
    <row r="34">
      <c r="A34" t="inlineStr">
        <is>
          <t>Other Current Assets % of Rev</t>
        </is>
      </c>
      <c r="B34" s="9" t="n">
        <v>0.03</v>
      </c>
    </row>
    <row r="35">
      <c r="A35" t="inlineStr">
        <is>
          <t>Other Current Liab % of Rev</t>
        </is>
      </c>
      <c r="B35" s="9" t="n">
        <v>0.02</v>
      </c>
    </row>
    <row r="36">
      <c r="A36" t="inlineStr">
        <is>
          <t>CapEx % (Historical)</t>
        </is>
      </c>
      <c r="B36" s="9" t="n">
        <v>0.08</v>
      </c>
    </row>
    <row r="38">
      <c r="A38" s="5" t="inlineStr">
        <is>
          <t>DEBT ASSUMPTIONS</t>
        </is>
      </c>
    </row>
    <row r="39">
      <c r="A39" t="inlineStr">
        <is>
          <t>Beginning Term Loan (2021)</t>
        </is>
      </c>
      <c r="B39" s="8" t="n">
        <v>50</v>
      </c>
    </row>
    <row r="40">
      <c r="A40" t="inlineStr">
        <is>
          <t>Term Loan Interest Rate</t>
        </is>
      </c>
      <c r="B40" s="9" t="n">
        <v>0.06</v>
      </c>
    </row>
    <row r="41">
      <c r="A41" t="inlineStr">
        <is>
          <t>Revolver Interest Rate</t>
        </is>
      </c>
      <c r="B41" s="9" t="n">
        <v>0.05</v>
      </c>
    </row>
    <row r="42">
      <c r="A42" t="inlineStr">
        <is>
          <t>Minimum Cash Balance</t>
        </is>
      </c>
      <c r="B42" s="8" t="n">
        <v>20</v>
      </c>
    </row>
    <row r="44">
      <c r="A44" s="5" t="inlineStr">
        <is>
          <t>INITIAL BALANCE SHEET (2021)</t>
        </is>
      </c>
    </row>
    <row r="45">
      <c r="A45" t="inlineStr">
        <is>
          <t>Beginning Cash</t>
        </is>
      </c>
      <c r="B45" s="8" t="n">
        <v>30</v>
      </c>
    </row>
    <row r="46">
      <c r="A46" t="inlineStr">
        <is>
          <t>Beginning PP&amp;E</t>
        </is>
      </c>
      <c r="B46" s="8" t="n">
        <v>80</v>
      </c>
    </row>
    <row r="47">
      <c r="A47" t="inlineStr">
        <is>
          <t>Beginning Shareholders' Equity</t>
        </is>
      </c>
      <c r="B47" s="8" t="n">
        <v>200</v>
      </c>
    </row>
    <row r="49">
      <c r="A49" s="5" t="inlineStr">
        <is>
          <t>DCF / VALUATION ASSUMPTIONS</t>
        </is>
      </c>
    </row>
    <row r="50">
      <c r="A50" t="inlineStr">
        <is>
          <t>Fully Diluted Shares (mm)</t>
        </is>
      </c>
      <c r="B50" s="8" t="n">
        <v>100</v>
      </c>
    </row>
    <row r="51">
      <c r="A51" t="inlineStr">
        <is>
          <t>Risk-Free Rate</t>
        </is>
      </c>
      <c r="B51" s="9" t="n">
        <v>0.045</v>
      </c>
    </row>
    <row r="52">
      <c r="A52" t="inlineStr">
        <is>
          <t>Equity Risk Premium</t>
        </is>
      </c>
      <c r="B52" s="9" t="n">
        <v>0.065</v>
      </c>
    </row>
    <row r="53">
      <c r="A53" t="inlineStr">
        <is>
          <t>Beta</t>
        </is>
      </c>
      <c r="B53" s="21" t="n">
        <v>1.2</v>
      </c>
    </row>
    <row r="54">
      <c r="A54" t="inlineStr">
        <is>
          <t>Target Debt %</t>
        </is>
      </c>
      <c r="B54" s="9" t="n">
        <v>0.3</v>
      </c>
    </row>
    <row r="55">
      <c r="A55" t="inlineStr">
        <is>
          <t>Terminal Growth Rate</t>
        </is>
      </c>
      <c r="B55" s="9" t="n">
        <v>0.025</v>
      </c>
    </row>
    <row r="56">
      <c r="A56" t="inlineStr">
        <is>
          <t>Exit EV/EBITDA Multiple</t>
        </is>
      </c>
      <c r="B56" s="22" t="n">
        <v>8.5</v>
      </c>
    </row>
  </sheetData>
  <dataValidations count="1">
    <dataValidation sqref="B4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EXECUTIVE SUMMARY</t>
        </is>
      </c>
    </row>
    <row r="2">
      <c r="A2" t="inlineStr">
        <is>
          <t xml:space="preserve">Current Scenario: </t>
        </is>
      </c>
      <c r="B2" s="17">
        <f>'Assumptions &amp; Drivers'!B4</f>
        <v/>
      </c>
    </row>
    <row r="4">
      <c r="A4" s="2" t="inlineStr">
        <is>
          <t>SCENARIO COMPARISON</t>
        </is>
      </c>
    </row>
    <row r="5">
      <c r="A5" s="15" t="inlineStr">
        <is>
          <t>Key Metric (2029)</t>
        </is>
      </c>
      <c r="B5" s="15" t="inlineStr">
        <is>
          <t>Base</t>
        </is>
      </c>
      <c r="C5" s="15" t="inlineStr">
        <is>
          <t>Upside</t>
        </is>
      </c>
      <c r="D5" s="15" t="inlineStr">
        <is>
          <t>Downside</t>
        </is>
      </c>
      <c r="E5" s="15" t="inlineStr">
        <is>
          <t>Current</t>
        </is>
      </c>
    </row>
    <row r="6">
      <c r="A6" t="inlineStr">
        <is>
          <t>Revenue</t>
        </is>
      </c>
      <c r="E6" s="12">
        <f>'Income Statement'!K8</f>
        <v/>
      </c>
    </row>
    <row r="7">
      <c r="A7" t="inlineStr">
        <is>
          <t>EBITDA</t>
        </is>
      </c>
      <c r="E7" s="12">
        <f>'Income Statement'!K22</f>
        <v/>
      </c>
    </row>
    <row r="8">
      <c r="A8" t="inlineStr">
        <is>
          <t>EBITDA Margin %</t>
        </is>
      </c>
      <c r="E8" s="14">
        <f>'Income Statement'!K23</f>
        <v/>
      </c>
    </row>
    <row r="9">
      <c r="A9" t="inlineStr">
        <is>
          <t>Net Income</t>
        </is>
      </c>
      <c r="E9" s="12">
        <f>'Income Statement'!K21</f>
        <v/>
      </c>
    </row>
    <row r="10">
      <c r="A10" t="inlineStr">
        <is>
          <t>Free Cash Flow</t>
        </is>
      </c>
      <c r="E10" s="12">
        <f>'Cash Flow'!K36</f>
        <v/>
      </c>
    </row>
    <row r="11">
      <c r="A11" t="inlineStr">
        <is>
          <t>Total Debt</t>
        </is>
      </c>
      <c r="E11" s="12">
        <f>'Debt Schedule'!K17</f>
        <v/>
      </c>
    </row>
    <row r="13">
      <c r="A13" s="16" t="inlineStr">
        <is>
          <t>Note: To compare scenarios, manually change scenario in Assumptions &amp; Drivers</t>
        </is>
      </c>
    </row>
    <row r="14">
      <c r="A14" s="16" t="inlineStr">
        <is>
          <t>and record metrics above for each scenario.</t>
        </is>
      </c>
    </row>
    <row r="16">
      <c r="A16" s="18" t="inlineStr">
        <is>
          <t>HISTORICAL &amp; FORECAST DATA</t>
        </is>
      </c>
    </row>
    <row r="17">
      <c r="A17" s="7" t="inlineStr">
        <is>
          <t>Year</t>
        </is>
      </c>
      <c r="B17" s="7" t="inlineStr">
        <is>
          <t>Revenue</t>
        </is>
      </c>
      <c r="C17" s="7" t="inlineStr">
        <is>
          <t>EBITDA</t>
        </is>
      </c>
      <c r="D17" s="7" t="inlineStr">
        <is>
          <t>Free Cash Flow</t>
        </is>
      </c>
    </row>
    <row r="18">
      <c r="A18" t="n">
        <v>2021</v>
      </c>
      <c r="B18" s="12">
        <f>'Income Statement'!B8</f>
        <v/>
      </c>
      <c r="C18" s="12">
        <f>'Income Statement'!B22</f>
        <v/>
      </c>
      <c r="D18" s="12">
        <f>'Cash Flow'!B36</f>
        <v/>
      </c>
    </row>
    <row r="19">
      <c r="A19" t="n">
        <v>2022</v>
      </c>
      <c r="B19" s="12">
        <f>'Income Statement'!C8</f>
        <v/>
      </c>
      <c r="C19" s="12">
        <f>'Income Statement'!C22</f>
        <v/>
      </c>
      <c r="D19" s="12">
        <f>'Cash Flow'!C36</f>
        <v/>
      </c>
    </row>
    <row r="20">
      <c r="A20" t="n">
        <v>2023</v>
      </c>
      <c r="B20" s="12">
        <f>'Income Statement'!D8</f>
        <v/>
      </c>
      <c r="C20" s="12">
        <f>'Income Statement'!D22</f>
        <v/>
      </c>
      <c r="D20" s="12">
        <f>'Cash Flow'!D36</f>
        <v/>
      </c>
    </row>
    <row r="21">
      <c r="A21" t="n">
        <v>2024</v>
      </c>
      <c r="B21" s="12">
        <f>'Income Statement'!E8</f>
        <v/>
      </c>
      <c r="C21" s="12">
        <f>'Income Statement'!E22</f>
        <v/>
      </c>
      <c r="D21" s="12">
        <f>'Cash Flow'!E36</f>
        <v/>
      </c>
    </row>
    <row r="22">
      <c r="A22" t="n">
        <v>2025</v>
      </c>
      <c r="B22" s="12">
        <f>'Income Statement'!F8</f>
        <v/>
      </c>
      <c r="C22" s="12">
        <f>'Income Statement'!F22</f>
        <v/>
      </c>
      <c r="D22" s="12">
        <f>'Cash Flow'!F36</f>
        <v/>
      </c>
    </row>
    <row r="23">
      <c r="A23" t="n">
        <v>2026</v>
      </c>
      <c r="B23" s="12">
        <f>'Income Statement'!G8</f>
        <v/>
      </c>
      <c r="C23" s="12">
        <f>'Income Statement'!G22</f>
        <v/>
      </c>
      <c r="D23" s="12">
        <f>'Cash Flow'!G36</f>
        <v/>
      </c>
    </row>
    <row r="24">
      <c r="A24" t="n">
        <v>2027</v>
      </c>
      <c r="B24" s="12">
        <f>'Income Statement'!H8</f>
        <v/>
      </c>
      <c r="C24" s="12">
        <f>'Income Statement'!H22</f>
        <v/>
      </c>
      <c r="D24" s="12">
        <f>'Cash Flow'!H36</f>
        <v/>
      </c>
    </row>
    <row r="25">
      <c r="A25" t="n">
        <v>2028</v>
      </c>
      <c r="B25" s="12">
        <f>'Income Statement'!I8</f>
        <v/>
      </c>
      <c r="C25" s="12">
        <f>'Income Statement'!I22</f>
        <v/>
      </c>
      <c r="D25" s="12">
        <f>'Cash Flow'!I36</f>
        <v/>
      </c>
    </row>
    <row r="26">
      <c r="A26" t="n">
        <v>2029</v>
      </c>
      <c r="B26" s="12">
        <f>'Income Statement'!J8</f>
        <v/>
      </c>
      <c r="C26" s="12">
        <f>'Income Statement'!J22</f>
        <v/>
      </c>
      <c r="D26" s="12">
        <f>'Cash Flow'!J36</f>
        <v/>
      </c>
    </row>
    <row r="30">
      <c r="A30" s="2" t="inlineStr">
        <is>
          <t>DCF VALUATION SUMMARY</t>
        </is>
      </c>
    </row>
    <row r="32">
      <c r="A32" s="15" t="inlineStr">
        <is>
          <t>Method</t>
        </is>
      </c>
      <c r="B32" s="15" t="inlineStr">
        <is>
          <t>Enterprise Value</t>
        </is>
      </c>
      <c r="C32" s="15" t="inlineStr">
        <is>
          <t>Equity Value</t>
        </is>
      </c>
      <c r="D32" s="15" t="inlineStr">
        <is>
          <t>Value per Share</t>
        </is>
      </c>
    </row>
    <row r="33">
      <c r="A33" t="inlineStr">
        <is>
          <t>DCF - Perpetuity Growth</t>
        </is>
      </c>
      <c r="B33" s="12">
        <f>DCF!C60</f>
        <v/>
      </c>
      <c r="C33" s="12">
        <f>DCF!C63</f>
        <v/>
      </c>
      <c r="D33" s="23">
        <f>DCF!C66</f>
        <v/>
      </c>
    </row>
    <row r="34">
      <c r="A34" t="inlineStr">
        <is>
          <t>DCF - Exit Multiple</t>
        </is>
      </c>
      <c r="B34" s="12">
        <f>DCF!C73</f>
        <v/>
      </c>
      <c r="C34" s="12">
        <f>DCF!C75</f>
        <v/>
      </c>
      <c r="D34" s="23">
        <f>DCF!C76</f>
        <v/>
      </c>
    </row>
    <row r="35">
      <c r="A35" s="3" t="inlineStr">
        <is>
          <t>Midpoint</t>
        </is>
      </c>
      <c r="B35" s="13">
        <f>(B33+B34)/2</f>
        <v/>
      </c>
      <c r="C35" s="13">
        <f>(C33+C34)/2</f>
        <v/>
      </c>
      <c r="D35" s="24">
        <f>(D33+D34)/2</f>
        <v/>
      </c>
    </row>
    <row r="37">
      <c r="A37" s="18" t="inlineStr">
        <is>
          <t>KEY ASSUMPTIONS</t>
        </is>
      </c>
    </row>
    <row r="38">
      <c r="A38" t="inlineStr">
        <is>
          <t>WACC</t>
        </is>
      </c>
      <c r="B38" s="14">
        <f>DCF!C32</f>
        <v/>
      </c>
    </row>
    <row r="39">
      <c r="A39" t="inlineStr">
        <is>
          <t>Terminal Growth Rate</t>
        </is>
      </c>
      <c r="B39" s="14">
        <f>DCF!C38</f>
        <v/>
      </c>
    </row>
    <row r="40">
      <c r="A40" t="inlineStr">
        <is>
          <t>Exit EBITDA Multiple</t>
        </is>
      </c>
      <c r="B40" s="25">
        <f>DCF!C43</f>
        <v/>
      </c>
    </row>
    <row r="41">
      <c r="A41" t="inlineStr">
        <is>
          <t>Terminal Year EBITDA</t>
        </is>
      </c>
      <c r="B41" s="12">
        <f>DCF!C42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INCOME STATEMENT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Revenue</t>
        </is>
      </c>
    </row>
    <row r="6">
      <c r="A6" t="inlineStr">
        <is>
          <t>Product Revenue</t>
        </is>
      </c>
      <c r="B6" s="12">
        <f>'Assumptions &amp; Drivers'!B8</f>
        <v/>
      </c>
      <c r="C6" s="12">
        <f>'Assumptions &amp; Drivers'!C8</f>
        <v/>
      </c>
      <c r="D6" s="12">
        <f>'Assumptions &amp; Drivers'!D8</f>
        <v/>
      </c>
      <c r="E6" s="12">
        <f>'Assumptions &amp; Drivers'!E8</f>
        <v/>
      </c>
      <c r="F6" s="12">
        <f>E6*(1+'Assumptions &amp; Drivers'!$E$13)</f>
        <v/>
      </c>
      <c r="G6" s="12">
        <f>F6*(1+'Assumptions &amp; Drivers'!$E$14)</f>
        <v/>
      </c>
      <c r="H6" s="12">
        <f>G6*(1+'Assumptions &amp; Drivers'!$E$14)</f>
        <v/>
      </c>
      <c r="I6" s="12">
        <f>H6*(1+'Assumptions &amp; Drivers'!$E$14)</f>
        <v/>
      </c>
      <c r="J6" s="12">
        <f>I6*(1+'Assumptions &amp; Drivers'!$E$14)</f>
        <v/>
      </c>
    </row>
    <row r="7">
      <c r="A7" t="inlineStr">
        <is>
          <t>Service Revenue</t>
        </is>
      </c>
      <c r="B7" s="12">
        <f>'Assumptions &amp; Drivers'!B9</f>
        <v/>
      </c>
      <c r="C7" s="12">
        <f>'Assumptions &amp; Drivers'!C9</f>
        <v/>
      </c>
      <c r="D7" s="12">
        <f>'Assumptions &amp; Drivers'!D9</f>
        <v/>
      </c>
      <c r="E7" s="12">
        <f>'Assumptions &amp; Drivers'!E9</f>
        <v/>
      </c>
      <c r="F7" s="12">
        <f>E7*(1+'Assumptions &amp; Drivers'!$E$15)</f>
        <v/>
      </c>
      <c r="G7" s="12">
        <f>F7*(1+'Assumptions &amp; Drivers'!$E$16)</f>
        <v/>
      </c>
      <c r="H7" s="12">
        <f>G7*(1+'Assumptions &amp; Drivers'!$E$16)</f>
        <v/>
      </c>
      <c r="I7" s="12">
        <f>H7*(1+'Assumptions &amp; Drivers'!$E$16)</f>
        <v/>
      </c>
      <c r="J7" s="12">
        <f>I7*(1+'Assumptions &amp; Drivers'!$E$16)</f>
        <v/>
      </c>
    </row>
    <row r="8">
      <c r="A8" s="3" t="inlineStr">
        <is>
          <t>Total Revenue</t>
        </is>
      </c>
      <c r="B8" s="13">
        <f>SUM(B6:B7)</f>
        <v/>
      </c>
      <c r="C8" s="13">
        <f>SUM(C6:C7)</f>
        <v/>
      </c>
      <c r="D8" s="13">
        <f>SUM(D6:D7)</f>
        <v/>
      </c>
      <c r="E8" s="13">
        <f>SUM(E6:E7)</f>
        <v/>
      </c>
      <c r="F8" s="13">
        <f>SUM(F6:F7)</f>
        <v/>
      </c>
      <c r="G8" s="13">
        <f>SUM(G6:G7)</f>
        <v/>
      </c>
      <c r="H8" s="13">
        <f>SUM(H6:H7)</f>
        <v/>
      </c>
      <c r="I8" s="13">
        <f>SUM(I6:I7)</f>
        <v/>
      </c>
      <c r="J8" s="13">
        <f>SUM(J6:J7)</f>
        <v/>
      </c>
    </row>
    <row r="9">
      <c r="A9" t="inlineStr">
        <is>
          <t>Cost of Goods Sold</t>
        </is>
      </c>
      <c r="B9" s="12">
        <f>B8*(1-'Assumptions &amp; Drivers'!$B$26)</f>
        <v/>
      </c>
      <c r="C9" s="12">
        <f>C8*(1-'Assumptions &amp; Drivers'!$B$26)</f>
        <v/>
      </c>
      <c r="D9" s="12">
        <f>D8*(1-'Assumptions &amp; Drivers'!$B$26)</f>
        <v/>
      </c>
      <c r="E9" s="12">
        <f>E8*(1-'Assumptions &amp; Drivers'!$B$26)</f>
        <v/>
      </c>
      <c r="F9" s="12">
        <f>F8*(1-'Assumptions &amp; Drivers'!$E$17)</f>
        <v/>
      </c>
      <c r="G9" s="12">
        <f>G8*(1-'Assumptions &amp; Drivers'!$E$17)</f>
        <v/>
      </c>
      <c r="H9" s="12">
        <f>H8*(1-'Assumptions &amp; Drivers'!$E$17)</f>
        <v/>
      </c>
      <c r="I9" s="12">
        <f>I8*(1-'Assumptions &amp; Drivers'!$E$17)</f>
        <v/>
      </c>
      <c r="J9" s="12">
        <f>J8*(1-'Assumptions &amp; Drivers'!$E$17)</f>
        <v/>
      </c>
    </row>
    <row r="10">
      <c r="A10" s="3" t="inlineStr">
        <is>
          <t>Gross Profit</t>
        </is>
      </c>
      <c r="B10" s="13">
        <f>B8-B9</f>
        <v/>
      </c>
      <c r="C10" s="13">
        <f>C8-C9</f>
        <v/>
      </c>
      <c r="D10" s="13">
        <f>D8-D9</f>
        <v/>
      </c>
      <c r="E10" s="13">
        <f>E8-E9</f>
        <v/>
      </c>
      <c r="F10" s="13">
        <f>F8-F9</f>
        <v/>
      </c>
      <c r="G10" s="13">
        <f>G8-G9</f>
        <v/>
      </c>
      <c r="H10" s="13">
        <f>H8-H9</f>
        <v/>
      </c>
      <c r="I10" s="13">
        <f>I8-I9</f>
        <v/>
      </c>
      <c r="J10" s="13">
        <f>J8-J9</f>
        <v/>
      </c>
    </row>
    <row r="11">
      <c r="A11" s="7" t="inlineStr">
        <is>
          <t>Operating Expenses</t>
        </is>
      </c>
    </row>
    <row r="12">
      <c r="A12" t="inlineStr">
        <is>
          <t>SG&amp;A</t>
        </is>
      </c>
      <c r="B12" s="12">
        <f>B8*'Assumptions &amp; Drivers'!$B$27</f>
        <v/>
      </c>
      <c r="C12" s="12">
        <f>C8*'Assumptions &amp; Drivers'!$B$27</f>
        <v/>
      </c>
      <c r="D12" s="12">
        <f>D8*'Assumptions &amp; Drivers'!$B$27</f>
        <v/>
      </c>
      <c r="E12" s="12">
        <f>E8*'Assumptions &amp; Drivers'!$B$27</f>
        <v/>
      </c>
      <c r="F12" s="12">
        <f>F8*'Assumptions &amp; Drivers'!$E$18</f>
        <v/>
      </c>
      <c r="G12" s="12">
        <f>G8*'Assumptions &amp; Drivers'!$E$18</f>
        <v/>
      </c>
      <c r="H12" s="12">
        <f>H8*'Assumptions &amp; Drivers'!$E$18</f>
        <v/>
      </c>
      <c r="I12" s="12">
        <f>I8*'Assumptions &amp; Drivers'!$E$18</f>
        <v/>
      </c>
      <c r="J12" s="12">
        <f>J8*'Assumptions &amp; Drivers'!$E$18</f>
        <v/>
      </c>
    </row>
    <row r="13">
      <c r="A13" t="inlineStr">
        <is>
          <t>R&amp;D</t>
        </is>
      </c>
      <c r="B13" s="12">
        <f>B8*'Assumptions &amp; Drivers'!$B$28</f>
        <v/>
      </c>
      <c r="C13" s="12">
        <f>C8*'Assumptions &amp; Drivers'!$B$28</f>
        <v/>
      </c>
      <c r="D13" s="12">
        <f>D8*'Assumptions &amp; Drivers'!$B$28</f>
        <v/>
      </c>
      <c r="E13" s="12">
        <f>E8*'Assumptions &amp; Drivers'!$B$28</f>
        <v/>
      </c>
      <c r="F13" s="12">
        <f>F8*'Assumptions &amp; Drivers'!$E$19</f>
        <v/>
      </c>
      <c r="G13" s="12">
        <f>G8*'Assumptions &amp; Drivers'!$E$19</f>
        <v/>
      </c>
      <c r="H13" s="12">
        <f>H8*'Assumptions &amp; Drivers'!$E$19</f>
        <v/>
      </c>
      <c r="I13" s="12">
        <f>I8*'Assumptions &amp; Drivers'!$E$19</f>
        <v/>
      </c>
      <c r="J13" s="12">
        <f>J8*'Assumptions &amp; Drivers'!$E$19</f>
        <v/>
      </c>
    </row>
    <row r="14">
      <c r="A14" t="inlineStr">
        <is>
          <t>D&amp;A</t>
        </is>
      </c>
      <c r="B14" s="12">
        <f>B8*'Assumptions &amp; Drivers'!$B$29</f>
        <v/>
      </c>
      <c r="C14" s="12">
        <f>C8*'Assumptions &amp; Drivers'!$B$29</f>
        <v/>
      </c>
      <c r="D14" s="12">
        <f>D8*'Assumptions &amp; Drivers'!$B$29</f>
        <v/>
      </c>
      <c r="E14" s="12">
        <f>E8*'Assumptions &amp; Drivers'!$B$29</f>
        <v/>
      </c>
      <c r="F14" s="12">
        <f>F8*'Assumptions &amp; Drivers'!$B$29</f>
        <v/>
      </c>
      <c r="G14" s="12">
        <f>G8*'Assumptions &amp; Drivers'!$B$29</f>
        <v/>
      </c>
      <c r="H14" s="12">
        <f>H8*'Assumptions &amp; Drivers'!$B$29</f>
        <v/>
      </c>
      <c r="I14" s="12">
        <f>I8*'Assumptions &amp; Drivers'!$B$29</f>
        <v/>
      </c>
      <c r="J14" s="12">
        <f>J8*'Assumptions &amp; Drivers'!$B$29</f>
        <v/>
      </c>
    </row>
    <row r="15">
      <c r="A15" s="3" t="inlineStr">
        <is>
          <t>Total Operating Expenses</t>
        </is>
      </c>
      <c r="B15" s="13">
        <f>SUM(B12:B14)</f>
        <v/>
      </c>
      <c r="C15" s="13">
        <f>SUM(C12:C14)</f>
        <v/>
      </c>
      <c r="D15" s="13">
        <f>SUM(D12:D14)</f>
        <v/>
      </c>
      <c r="E15" s="13">
        <f>SUM(E12:E14)</f>
        <v/>
      </c>
      <c r="F15" s="13">
        <f>SUM(F12:F14)</f>
        <v/>
      </c>
      <c r="G15" s="13">
        <f>SUM(G12:G14)</f>
        <v/>
      </c>
      <c r="H15" s="13">
        <f>SUM(H12:H14)</f>
        <v/>
      </c>
      <c r="I15" s="13">
        <f>SUM(I12:I14)</f>
        <v/>
      </c>
      <c r="J15" s="13">
        <f>SUM(J12:J14)</f>
        <v/>
      </c>
    </row>
    <row r="16">
      <c r="A16" s="3" t="inlineStr">
        <is>
          <t>EBIT</t>
        </is>
      </c>
      <c r="B16" s="13">
        <f>B10-B15</f>
        <v/>
      </c>
      <c r="C16" s="13">
        <f>C10-C15</f>
        <v/>
      </c>
      <c r="D16" s="13">
        <f>D10-D15</f>
        <v/>
      </c>
      <c r="E16" s="13">
        <f>E10-E15</f>
        <v/>
      </c>
      <c r="F16" s="13">
        <f>F10-F15</f>
        <v/>
      </c>
      <c r="G16" s="13">
        <f>G10-G15</f>
        <v/>
      </c>
      <c r="H16" s="13">
        <f>H10-H15</f>
        <v/>
      </c>
      <c r="I16" s="13">
        <f>I10-I15</f>
        <v/>
      </c>
      <c r="J16" s="13">
        <f>J10-J15</f>
        <v/>
      </c>
    </row>
    <row r="17">
      <c r="A17" t="inlineStr">
        <is>
          <t>Interest Expense</t>
        </is>
      </c>
      <c r="B17" s="12">
        <f>'Balance Sheet'!B26*'Assumptions &amp; Drivers'!B31</f>
        <v/>
      </c>
      <c r="C17" s="12">
        <f>'Balance Sheet'!C26*'Assumptions &amp; Drivers'!C31</f>
        <v/>
      </c>
      <c r="D17" s="12">
        <f>'Balance Sheet'!D26*'Assumptions &amp; Drivers'!D31</f>
        <v/>
      </c>
      <c r="E17" s="12">
        <f>'Balance Sheet'!E26*'Assumptions &amp; Drivers'!E31</f>
        <v/>
      </c>
      <c r="F17" s="12">
        <f>'Balance Sheet'!F26*'Assumptions &amp; Drivers'!F31</f>
        <v/>
      </c>
      <c r="G17" s="12">
        <f>'Balance Sheet'!G26*'Assumptions &amp; Drivers'!G31</f>
        <v/>
      </c>
      <c r="H17" s="12">
        <f>'Balance Sheet'!H26*'Assumptions &amp; Drivers'!H31</f>
        <v/>
      </c>
      <c r="I17" s="12">
        <f>'Balance Sheet'!I26*'Assumptions &amp; Drivers'!I31</f>
        <v/>
      </c>
      <c r="J17" s="12">
        <f>'Balance Sheet'!J26*'Assumptions &amp; Drivers'!J31</f>
        <v/>
      </c>
    </row>
    <row r="18">
      <c r="A18" s="3" t="inlineStr">
        <is>
          <t>EBT</t>
        </is>
      </c>
      <c r="B18" s="13">
        <f>'Debt Schedule'!B22</f>
        <v/>
      </c>
      <c r="C18" s="13">
        <f>'Debt Schedule'!C22</f>
        <v/>
      </c>
      <c r="D18" s="13">
        <f>'Debt Schedule'!D22</f>
        <v/>
      </c>
      <c r="E18" s="13">
        <f>'Debt Schedule'!E22</f>
        <v/>
      </c>
      <c r="F18" s="13">
        <f>'Debt Schedule'!F22</f>
        <v/>
      </c>
      <c r="G18" s="13">
        <f>'Debt Schedule'!G22</f>
        <v/>
      </c>
      <c r="H18" s="13">
        <f>'Debt Schedule'!H22</f>
        <v/>
      </c>
      <c r="I18" s="13">
        <f>'Debt Schedule'!I22</f>
        <v/>
      </c>
      <c r="J18" s="13">
        <f>'Debt Schedule'!J22</f>
        <v/>
      </c>
    </row>
    <row r="19">
      <c r="A19" t="inlineStr">
        <is>
          <t>Taxes</t>
        </is>
      </c>
      <c r="B19" s="12">
        <f>B18*'Assumptions &amp; Drivers'!B18</f>
        <v/>
      </c>
      <c r="C19" s="12">
        <f>C18*'Assumptions &amp; Drivers'!C18</f>
        <v/>
      </c>
      <c r="D19" s="12">
        <f>D18*'Assumptions &amp; Drivers'!D18</f>
        <v/>
      </c>
      <c r="E19" s="12">
        <f>E18*'Assumptions &amp; Drivers'!E18</f>
        <v/>
      </c>
      <c r="F19" s="12">
        <f>F18*'Assumptions &amp; Drivers'!F18</f>
        <v/>
      </c>
      <c r="G19" s="12">
        <f>G18*'Assumptions &amp; Drivers'!G18</f>
        <v/>
      </c>
      <c r="H19" s="12">
        <f>H18*'Assumptions &amp; Drivers'!H18</f>
        <v/>
      </c>
      <c r="I19" s="12">
        <f>I18*'Assumptions &amp; Drivers'!I18</f>
        <v/>
      </c>
      <c r="J19" s="12">
        <f>J18*'Assumptions &amp; Drivers'!J18</f>
        <v/>
      </c>
    </row>
    <row r="20">
      <c r="A20" s="7" t="inlineStr">
        <is>
          <t>Net Income</t>
        </is>
      </c>
      <c r="B20" s="13">
        <f>B19*'Assumptions &amp; Drivers'!$B$30</f>
        <v/>
      </c>
      <c r="C20" s="13">
        <f>C19*'Assumptions &amp; Drivers'!$B$30</f>
        <v/>
      </c>
      <c r="D20" s="13">
        <f>D19*'Assumptions &amp; Drivers'!$B$30</f>
        <v/>
      </c>
      <c r="E20" s="13">
        <f>E19*'Assumptions &amp; Drivers'!$B$30</f>
        <v/>
      </c>
      <c r="F20" s="13">
        <f>F19*'Assumptions &amp; Drivers'!$B$30</f>
        <v/>
      </c>
      <c r="G20" s="13">
        <f>G19*'Assumptions &amp; Drivers'!$B$30</f>
        <v/>
      </c>
      <c r="H20" s="13">
        <f>H19*'Assumptions &amp; Drivers'!$B$30</f>
        <v/>
      </c>
      <c r="I20" s="13">
        <f>I19*'Assumptions &amp; Drivers'!$B$30</f>
        <v/>
      </c>
      <c r="J20" s="13">
        <f>J19*'Assumptions &amp; Drivers'!$B$30</f>
        <v/>
      </c>
    </row>
    <row r="22">
      <c r="A22" s="7" t="inlineStr">
        <is>
          <t>KEY METRICS</t>
        </is>
      </c>
    </row>
    <row r="23">
      <c r="A23" s="3" t="inlineStr">
        <is>
          <t>EBITDA</t>
        </is>
      </c>
      <c r="B23" s="13">
        <f>B16+B14</f>
        <v/>
      </c>
      <c r="C23" s="13">
        <f>C16+C14</f>
        <v/>
      </c>
      <c r="D23" s="13">
        <f>D16+D14</f>
        <v/>
      </c>
      <c r="E23" s="13">
        <f>E16+E14</f>
        <v/>
      </c>
      <c r="F23" s="13">
        <f>F16+F14</f>
        <v/>
      </c>
      <c r="G23" s="13">
        <f>G16+G14</f>
        <v/>
      </c>
      <c r="H23" s="13">
        <f>H16+H14</f>
        <v/>
      </c>
      <c r="I23" s="13">
        <f>I16+I14</f>
        <v/>
      </c>
      <c r="J23" s="13">
        <f>J16+J14</f>
        <v/>
      </c>
    </row>
    <row r="24">
      <c r="A24" t="inlineStr">
        <is>
          <t>EBITDA Margin</t>
        </is>
      </c>
      <c r="B24" s="14">
        <f>B23/B8</f>
        <v/>
      </c>
      <c r="C24" s="14">
        <f>C23/C8</f>
        <v/>
      </c>
      <c r="D24" s="14">
        <f>D23/D8</f>
        <v/>
      </c>
      <c r="E24" s="14">
        <f>E23/E8</f>
        <v/>
      </c>
      <c r="F24" s="14">
        <f>F23/F8</f>
        <v/>
      </c>
      <c r="G24" s="14">
        <f>G23/G8</f>
        <v/>
      </c>
      <c r="H24" s="14">
        <f>H23/H8</f>
        <v/>
      </c>
      <c r="I24" s="14">
        <f>I23/I8</f>
        <v/>
      </c>
      <c r="J24" s="14">
        <f>J23/J8</f>
        <v/>
      </c>
    </row>
    <row r="25">
      <c r="A25" t="inlineStr">
        <is>
          <t>Net Income Margin</t>
        </is>
      </c>
      <c r="B25" s="14">
        <f>B20/B8</f>
        <v/>
      </c>
      <c r="C25" s="14">
        <f>C20/C8</f>
        <v/>
      </c>
      <c r="D25" s="14">
        <f>D20/D8</f>
        <v/>
      </c>
      <c r="E25" s="14">
        <f>E20/E8</f>
        <v/>
      </c>
      <c r="F25" s="14">
        <f>F20/F8</f>
        <v/>
      </c>
      <c r="G25" s="14">
        <f>G20/G8</f>
        <v/>
      </c>
      <c r="H25" s="14">
        <f>H20/H8</f>
        <v/>
      </c>
      <c r="I25" s="14">
        <f>I20/I8</f>
        <v/>
      </c>
      <c r="J25" s="14">
        <f>J20/J8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BALANCE SHEET</t>
        </is>
      </c>
    </row>
    <row r="2">
      <c r="A2" s="11" t="inlineStr">
        <is>
          <t>($ in millions)</t>
        </is>
      </c>
    </row>
    <row r="4">
      <c r="A4" s="3" t="inlineStr">
        <is>
          <t>Period Ending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ASSETS</t>
        </is>
      </c>
    </row>
    <row r="6">
      <c r="A6" s="3" t="inlineStr">
        <is>
          <t>Current Assets</t>
        </is>
      </c>
    </row>
    <row r="7">
      <c r="A7" t="inlineStr">
        <is>
          <t>Cash</t>
        </is>
      </c>
      <c r="B7" s="12">
        <f>'Assumptions &amp; Drivers'!B33</f>
        <v/>
      </c>
      <c r="C7" s="12">
        <f>'Cash Flow'!C32</f>
        <v/>
      </c>
      <c r="D7" s="12">
        <f>'Cash Flow'!D32</f>
        <v/>
      </c>
      <c r="E7" s="12">
        <f>'Cash Flow'!E32</f>
        <v/>
      </c>
      <c r="F7" s="12">
        <f>'Cash Flow'!F32</f>
        <v/>
      </c>
      <c r="G7" s="12">
        <f>'Cash Flow'!G32</f>
        <v/>
      </c>
      <c r="H7" s="12">
        <f>'Cash Flow'!H32</f>
        <v/>
      </c>
      <c r="I7" s="12">
        <f>'Cash Flow'!I32</f>
        <v/>
      </c>
      <c r="J7" s="12">
        <f>'Cash Flow'!J32</f>
        <v/>
      </c>
    </row>
    <row r="8">
      <c r="A8" t="inlineStr">
        <is>
          <t>Accounts Receivable</t>
        </is>
      </c>
      <c r="B8" s="12">
        <f>'Income Statement'!B8*'Assumptions &amp; Drivers'!$B$31/365</f>
        <v/>
      </c>
      <c r="C8" s="12">
        <f>'Income Statement'!C8*'Assumptions &amp; Drivers'!$B$31/365</f>
        <v/>
      </c>
      <c r="D8" s="12">
        <f>'Income Statement'!D8*'Assumptions &amp; Drivers'!$B$31/365</f>
        <v/>
      </c>
      <c r="E8" s="12">
        <f>'Income Statement'!E8*'Assumptions &amp; Drivers'!$B$31/365</f>
        <v/>
      </c>
      <c r="F8" s="12">
        <f>'Income Statement'!F8*'Assumptions &amp; Drivers'!$E$21/365</f>
        <v/>
      </c>
      <c r="G8" s="12">
        <f>'Income Statement'!G8*'Assumptions &amp; Drivers'!$E$21/365</f>
        <v/>
      </c>
      <c r="H8" s="12">
        <f>'Income Statement'!H8*'Assumptions &amp; Drivers'!$E$21/365</f>
        <v/>
      </c>
      <c r="I8" s="12">
        <f>'Income Statement'!I8*'Assumptions &amp; Drivers'!$E$21/365</f>
        <v/>
      </c>
      <c r="J8" s="12">
        <f>'Income Statement'!J8*'Assumptions &amp; Drivers'!$E$21/365</f>
        <v/>
      </c>
    </row>
    <row r="9">
      <c r="A9" t="inlineStr">
        <is>
          <t>Inventory</t>
        </is>
      </c>
      <c r="B9" s="12">
        <f>'Income Statement'!B9*'Assumptions &amp; Drivers'!$B$32/365</f>
        <v/>
      </c>
      <c r="C9" s="12">
        <f>'Income Statement'!C9*'Assumptions &amp; Drivers'!$B$32/365</f>
        <v/>
      </c>
      <c r="D9" s="12">
        <f>'Income Statement'!D9*'Assumptions &amp; Drivers'!$B$32/365</f>
        <v/>
      </c>
      <c r="E9" s="12">
        <f>'Income Statement'!E9*'Assumptions &amp; Drivers'!$B$32/365</f>
        <v/>
      </c>
      <c r="F9" s="12">
        <f>'Income Statement'!F9*'Assumptions &amp; Drivers'!$E$22/365</f>
        <v/>
      </c>
      <c r="G9" s="12">
        <f>'Income Statement'!G9*'Assumptions &amp; Drivers'!$E$22/365</f>
        <v/>
      </c>
      <c r="H9" s="12">
        <f>'Income Statement'!H9*'Assumptions &amp; Drivers'!$E$22/365</f>
        <v/>
      </c>
      <c r="I9" s="12">
        <f>'Income Statement'!I9*'Assumptions &amp; Drivers'!$E$22/365</f>
        <v/>
      </c>
      <c r="J9" s="12">
        <f>'Income Statement'!J9*'Assumptions &amp; Drivers'!$E$22/365</f>
        <v/>
      </c>
    </row>
    <row r="10">
      <c r="A10" t="inlineStr">
        <is>
          <t>Other Current Assets</t>
        </is>
      </c>
      <c r="B10" s="12">
        <f>'Income Statement'!B8*'Assumptions &amp; Drivers'!$B$34</f>
        <v/>
      </c>
      <c r="C10" s="12">
        <f>'Income Statement'!C8*'Assumptions &amp; Drivers'!$B$34</f>
        <v/>
      </c>
      <c r="D10" s="12">
        <f>'Income Statement'!D8*'Assumptions &amp; Drivers'!$B$34</f>
        <v/>
      </c>
      <c r="E10" s="12">
        <f>'Income Statement'!E8*'Assumptions &amp; Drivers'!$B$34</f>
        <v/>
      </c>
      <c r="F10" s="12">
        <f>'Income Statement'!F8*'Assumptions &amp; Drivers'!$B$34</f>
        <v/>
      </c>
      <c r="G10" s="12">
        <f>'Income Statement'!G8*'Assumptions &amp; Drivers'!$B$34</f>
        <v/>
      </c>
      <c r="H10" s="12">
        <f>'Income Statement'!H8*'Assumptions &amp; Drivers'!$B$34</f>
        <v/>
      </c>
      <c r="I10" s="12">
        <f>'Income Statement'!I8*'Assumptions &amp; Drivers'!$B$34</f>
        <v/>
      </c>
      <c r="J10" s="12">
        <f>'Income Statement'!J8*'Assumptions &amp; Drivers'!$B$34</f>
        <v/>
      </c>
    </row>
    <row r="11">
      <c r="A11" s="3" t="inlineStr">
        <is>
          <t>Total Current Assets</t>
        </is>
      </c>
      <c r="B11" s="13">
        <f>SUM(B7:B10)</f>
        <v/>
      </c>
      <c r="C11" s="13">
        <f>SUM(C7:C10)</f>
        <v/>
      </c>
      <c r="D11" s="13">
        <f>SUM(D7:D10)</f>
        <v/>
      </c>
      <c r="E11" s="13">
        <f>SUM(E7:E10)</f>
        <v/>
      </c>
      <c r="F11" s="13">
        <f>SUM(F7:F10)</f>
        <v/>
      </c>
      <c r="G11" s="13">
        <f>SUM(G7:G10)</f>
        <v/>
      </c>
      <c r="H11" s="13">
        <f>SUM(H7:H10)</f>
        <v/>
      </c>
      <c r="I11" s="13">
        <f>SUM(I7:I10)</f>
        <v/>
      </c>
      <c r="J11" s="13">
        <f>SUM(J7:J10)</f>
        <v/>
      </c>
    </row>
    <row r="12">
      <c r="A12" t="inlineStr">
        <is>
          <t>PP&amp;E, Net</t>
        </is>
      </c>
      <c r="B12" s="12">
        <f>'Assumptions &amp; Drivers'!B34</f>
        <v/>
      </c>
      <c r="C12" s="12">
        <f>B12+'Cash Flow'!C18-'Income Statement'!C13</f>
        <v/>
      </c>
      <c r="D12" s="12">
        <f>C12+'Cash Flow'!D18-'Income Statement'!D13</f>
        <v/>
      </c>
      <c r="E12" s="12">
        <f>D12+'Cash Flow'!E18-'Income Statement'!E13</f>
        <v/>
      </c>
      <c r="F12" s="12">
        <f>E12+'Cash Flow'!F18-'Income Statement'!F13</f>
        <v/>
      </c>
      <c r="G12" s="12">
        <f>F12+'Cash Flow'!G18-'Income Statement'!G13</f>
        <v/>
      </c>
      <c r="H12" s="12">
        <f>G12+'Cash Flow'!H18-'Income Statement'!H13</f>
        <v/>
      </c>
      <c r="I12" s="12">
        <f>H12+'Cash Flow'!I18-'Income Statement'!I13</f>
        <v/>
      </c>
      <c r="J12" s="12">
        <f>I12+'Cash Flow'!J18-'Income Statement'!J13</f>
        <v/>
      </c>
    </row>
    <row r="13">
      <c r="A13" s="7" t="inlineStr">
        <is>
          <t>Total Assets</t>
        </is>
      </c>
      <c r="B13" s="13">
        <f>B11+B12</f>
        <v/>
      </c>
      <c r="C13" s="13">
        <f>C11+C12</f>
        <v/>
      </c>
      <c r="D13" s="13">
        <f>D11+D12</f>
        <v/>
      </c>
      <c r="E13" s="13">
        <f>E11+E12</f>
        <v/>
      </c>
      <c r="F13" s="13">
        <f>F11+F12</f>
        <v/>
      </c>
      <c r="G13" s="13">
        <f>G11+G12</f>
        <v/>
      </c>
      <c r="H13" s="13">
        <f>H11+H12</f>
        <v/>
      </c>
      <c r="I13" s="13">
        <f>I11+I12</f>
        <v/>
      </c>
      <c r="J13" s="13">
        <f>J11+J12</f>
        <v/>
      </c>
    </row>
    <row r="15">
      <c r="A15" s="7" t="inlineStr">
        <is>
          <t>LIABILITIES &amp; EQUITY</t>
        </is>
      </c>
    </row>
    <row r="16">
      <c r="A16" s="3" t="inlineStr">
        <is>
          <t>Current Liabilities</t>
        </is>
      </c>
    </row>
    <row r="17">
      <c r="A17" t="inlineStr">
        <is>
          <t>Accounts Payable</t>
        </is>
      </c>
      <c r="B17" s="12">
        <f>'Income Statement'!B8*'Assumptions &amp; Drivers'!B23/365</f>
        <v/>
      </c>
      <c r="C17" s="12">
        <f>'Income Statement'!C8*'Assumptions &amp; Drivers'!C23/365</f>
        <v/>
      </c>
      <c r="D17" s="12">
        <f>'Income Statement'!D8*'Assumptions &amp; Drivers'!D23/365</f>
        <v/>
      </c>
      <c r="E17" s="12">
        <f>'Income Statement'!E8*'Assumptions &amp; Drivers'!E23/365</f>
        <v/>
      </c>
      <c r="F17" s="12">
        <f>'Income Statement'!F8*'Assumptions &amp; Drivers'!F23/365</f>
        <v/>
      </c>
      <c r="G17" s="12">
        <f>'Income Statement'!G8*'Assumptions &amp; Drivers'!G23/365</f>
        <v/>
      </c>
      <c r="H17" s="12">
        <f>'Income Statement'!H8*'Assumptions &amp; Drivers'!H23/365</f>
        <v/>
      </c>
      <c r="I17" s="12">
        <f>'Income Statement'!I8*'Assumptions &amp; Drivers'!I23/365</f>
        <v/>
      </c>
      <c r="J17" s="12">
        <f>'Income Statement'!J8*'Assumptions &amp; Drivers'!J23/365</f>
        <v/>
      </c>
    </row>
    <row r="18">
      <c r="A18" t="inlineStr">
        <is>
          <t>Other Current Liabilities</t>
        </is>
      </c>
      <c r="B18" s="12">
        <f>'Income Statement'!B7*'Assumptions &amp; Drivers'!B25</f>
        <v/>
      </c>
      <c r="C18" s="12">
        <f>'Income Statement'!C7*'Assumptions &amp; Drivers'!C25</f>
        <v/>
      </c>
      <c r="D18" s="12">
        <f>'Income Statement'!D7*'Assumptions &amp; Drivers'!D25</f>
        <v/>
      </c>
      <c r="E18" s="12">
        <f>'Income Statement'!E7*'Assumptions &amp; Drivers'!E25</f>
        <v/>
      </c>
      <c r="F18" s="12">
        <f>'Income Statement'!F7*'Assumptions &amp; Drivers'!F25</f>
        <v/>
      </c>
      <c r="G18" s="12">
        <f>'Income Statement'!G7*'Assumptions &amp; Drivers'!G25</f>
        <v/>
      </c>
      <c r="H18" s="12">
        <f>'Income Statement'!H7*'Assumptions &amp; Drivers'!H25</f>
        <v/>
      </c>
      <c r="I18" s="12">
        <f>'Income Statement'!I7*'Assumptions &amp; Drivers'!I25</f>
        <v/>
      </c>
      <c r="J18" s="12">
        <f>'Income Statement'!J7*'Assumptions &amp; Drivers'!J25</f>
        <v/>
      </c>
    </row>
    <row r="19">
      <c r="A19" s="3" t="inlineStr">
        <is>
          <t>Total Current Liabilities</t>
        </is>
      </c>
      <c r="B19" s="13">
        <f>'Income Statement'!B9*'Assumptions &amp; Drivers'!$B$33/365</f>
        <v/>
      </c>
      <c r="C19" s="13">
        <f>'Income Statement'!C9*'Assumptions &amp; Drivers'!$B$33/365</f>
        <v/>
      </c>
      <c r="D19" s="13">
        <f>'Income Statement'!D9*'Assumptions &amp; Drivers'!$B$33/365</f>
        <v/>
      </c>
      <c r="E19" s="13">
        <f>'Income Statement'!E9*'Assumptions &amp; Drivers'!$B$33/365</f>
        <v/>
      </c>
      <c r="F19" s="13">
        <f>'Income Statement'!F9*'Assumptions &amp; Drivers'!$E$23/365</f>
        <v/>
      </c>
      <c r="G19" s="13">
        <f>'Income Statement'!G9*'Assumptions &amp; Drivers'!$E$23/365</f>
        <v/>
      </c>
      <c r="H19" s="13">
        <f>'Income Statement'!H9*'Assumptions &amp; Drivers'!$E$23/365</f>
        <v/>
      </c>
      <c r="I19" s="13">
        <f>'Income Statement'!I9*'Assumptions &amp; Drivers'!$E$23/365</f>
        <v/>
      </c>
      <c r="J19" s="13">
        <f>'Income Statement'!J9*'Assumptions &amp; Drivers'!$E$23/365</f>
        <v/>
      </c>
    </row>
    <row r="20">
      <c r="A20" t="inlineStr">
        <is>
          <t>Revolver / Debt</t>
        </is>
      </c>
      <c r="B20" s="12">
        <f>'Income Statement'!B8*'Assumptions &amp; Drivers'!$B$35</f>
        <v/>
      </c>
      <c r="C20" s="12">
        <f>'Income Statement'!C8*'Assumptions &amp; Drivers'!$B$35</f>
        <v/>
      </c>
      <c r="D20" s="12">
        <f>'Income Statement'!D8*'Assumptions &amp; Drivers'!$B$35</f>
        <v/>
      </c>
      <c r="E20" s="12">
        <f>'Income Statement'!E8*'Assumptions &amp; Drivers'!$B$35</f>
        <v/>
      </c>
      <c r="F20" s="12">
        <f>'Income Statement'!F8*'Assumptions &amp; Drivers'!$B$35</f>
        <v/>
      </c>
      <c r="G20" s="12">
        <f>'Income Statement'!G8*'Assumptions &amp; Drivers'!$B$35</f>
        <v/>
      </c>
      <c r="H20" s="12">
        <f>'Income Statement'!H8*'Assumptions &amp; Drivers'!$B$35</f>
        <v/>
      </c>
      <c r="I20" s="12">
        <f>'Income Statement'!I8*'Assumptions &amp; Drivers'!$B$35</f>
        <v/>
      </c>
      <c r="J20" s="12">
        <f>'Income Statement'!J8*'Assumptions &amp; Drivers'!$B$35</f>
        <v/>
      </c>
    </row>
    <row r="21">
      <c r="A21" s="3" t="inlineStr">
        <is>
          <t>Total Liabilities</t>
        </is>
      </c>
      <c r="B21" s="13">
        <f>B19+B20</f>
        <v/>
      </c>
      <c r="C21" s="13">
        <f>C19+C20</f>
        <v/>
      </c>
      <c r="D21" s="13">
        <f>D19+D20</f>
        <v/>
      </c>
      <c r="E21" s="13">
        <f>E19+E20</f>
        <v/>
      </c>
      <c r="F21" s="13">
        <f>F19+F20</f>
        <v/>
      </c>
      <c r="G21" s="13">
        <f>G19+G20</f>
        <v/>
      </c>
      <c r="H21" s="13">
        <f>H19+H20</f>
        <v/>
      </c>
      <c r="I21" s="13">
        <f>I19+I20</f>
        <v/>
      </c>
      <c r="J21" s="13">
        <f>J19+J20</f>
        <v/>
      </c>
    </row>
    <row r="22">
      <c r="A22" t="inlineStr">
        <is>
          <t>Shareholders' Equity</t>
        </is>
      </c>
      <c r="B22" s="12">
        <f>'Assumptions &amp; Drivers'!B32</f>
        <v/>
      </c>
      <c r="C22" s="12">
        <f>B22+'Income Statement'!C19</f>
        <v/>
      </c>
      <c r="D22" s="12">
        <f>C22+'Income Statement'!D19</f>
        <v/>
      </c>
      <c r="E22" s="12">
        <f>D22+'Income Statement'!E19</f>
        <v/>
      </c>
      <c r="F22" s="12">
        <f>E22+'Income Statement'!F19</f>
        <v/>
      </c>
      <c r="G22" s="12">
        <f>F22+'Income Statement'!G19</f>
        <v/>
      </c>
      <c r="H22" s="12">
        <f>G22+'Income Statement'!H19</f>
        <v/>
      </c>
      <c r="I22" s="12">
        <f>H22+'Income Statement'!I19</f>
        <v/>
      </c>
      <c r="J22" s="12">
        <f>I22+'Income Statement'!J19</f>
        <v/>
      </c>
    </row>
    <row r="23">
      <c r="A23" s="7" t="inlineStr">
        <is>
          <t>Total Liabilities &amp; Equity</t>
        </is>
      </c>
      <c r="B23" s="13">
        <f>B21+B22</f>
        <v/>
      </c>
      <c r="C23" s="13">
        <f>C21+C22</f>
        <v/>
      </c>
      <c r="D23" s="13">
        <f>D21+D22</f>
        <v/>
      </c>
      <c r="E23" s="13">
        <f>E21+E22</f>
        <v/>
      </c>
      <c r="F23" s="13">
        <f>F21+F22</f>
        <v/>
      </c>
      <c r="G23" s="13">
        <f>G21+G22</f>
        <v/>
      </c>
      <c r="H23" s="13">
        <f>H21+H22</f>
        <v/>
      </c>
      <c r="I23" s="13">
        <f>I21+I22</f>
        <v/>
      </c>
      <c r="J23" s="13">
        <f>J21+J22</f>
        <v/>
      </c>
    </row>
    <row r="25">
      <c r="A25" s="3" t="inlineStr">
        <is>
          <t>Balance Check</t>
        </is>
      </c>
      <c r="B25" s="12">
        <f>B13-B23</f>
        <v/>
      </c>
      <c r="C25" s="12">
        <f>C13-C23</f>
        <v/>
      </c>
      <c r="D25" s="12">
        <f>D13-D23</f>
        <v/>
      </c>
      <c r="E25" s="12">
        <f>E13-E23</f>
        <v/>
      </c>
      <c r="F25" s="12">
        <f>F13-F23</f>
        <v/>
      </c>
      <c r="G25" s="12">
        <f>G13-G23</f>
        <v/>
      </c>
      <c r="H25" s="12">
        <f>H13-H23</f>
        <v/>
      </c>
      <c r="I25" s="12">
        <f>I13-I23</f>
        <v/>
      </c>
      <c r="J25" s="12">
        <f>J13-J23</f>
        <v/>
      </c>
    </row>
    <row r="26">
      <c r="B26" s="12">
        <f>'Debt Schedule'!B17</f>
        <v/>
      </c>
      <c r="C26" s="12">
        <f>'Debt Schedule'!C17</f>
        <v/>
      </c>
      <c r="D26" s="12">
        <f>'Debt Schedule'!D17</f>
        <v/>
      </c>
      <c r="E26" s="12">
        <f>'Debt Schedule'!E17</f>
        <v/>
      </c>
      <c r="F26" s="12">
        <f>'Debt Schedule'!F17</f>
        <v/>
      </c>
      <c r="G26" s="12">
        <f>'Debt Schedule'!G17</f>
        <v/>
      </c>
      <c r="H26" s="12">
        <f>'Debt Schedule'!H17</f>
        <v/>
      </c>
      <c r="I26" s="12">
        <f>'Debt Schedule'!I17</f>
        <v/>
      </c>
      <c r="J26" s="12">
        <f>'Debt Schedule'!J17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DEBT SCHEDULE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TERM LOAN</t>
        </is>
      </c>
    </row>
    <row r="6">
      <c r="A6" t="inlineStr">
        <is>
          <t>Beginning Balance</t>
        </is>
      </c>
      <c r="B6" s="12">
        <f>'Assumptions &amp; Drivers'!B39</f>
        <v/>
      </c>
      <c r="C6" s="12">
        <f>B9</f>
        <v/>
      </c>
      <c r="D6" s="12">
        <f>C9</f>
        <v/>
      </c>
      <c r="E6" s="12">
        <f>D9</f>
        <v/>
      </c>
      <c r="F6" s="12">
        <f>E9</f>
        <v/>
      </c>
      <c r="G6" s="12">
        <f>F9</f>
        <v/>
      </c>
      <c r="H6" s="12">
        <f>G9</f>
        <v/>
      </c>
      <c r="I6" s="12">
        <f>H9</f>
        <v/>
      </c>
      <c r="J6" s="12">
        <f>I9</f>
        <v/>
      </c>
    </row>
    <row r="7">
      <c r="A7" t="inlineStr">
        <is>
          <t>Borrowing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</row>
    <row r="8">
      <c r="A8" t="inlineStr">
        <is>
          <t>Repayment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</row>
    <row r="9">
      <c r="A9" s="3" t="inlineStr">
        <is>
          <t>Ending Balance</t>
        </is>
      </c>
      <c r="B9" s="13">
        <f>B6+B7-B8</f>
        <v/>
      </c>
      <c r="C9" s="13">
        <f>C6+C7-C8</f>
        <v/>
      </c>
      <c r="D9" s="13">
        <f>D6+D7-D8</f>
        <v/>
      </c>
      <c r="E9" s="13">
        <f>E6+E7-E8</f>
        <v/>
      </c>
      <c r="F9" s="13">
        <f>F6+F7-F8</f>
        <v/>
      </c>
      <c r="G9" s="13">
        <f>G6+G7-G8</f>
        <v/>
      </c>
      <c r="H9" s="13">
        <f>H6+H7-H8</f>
        <v/>
      </c>
      <c r="I9" s="13">
        <f>I6+I7-I8</f>
        <v/>
      </c>
      <c r="J9" s="13">
        <f>J6+J7-J8</f>
        <v/>
      </c>
    </row>
    <row r="10">
      <c r="A10" t="inlineStr">
        <is>
          <t>Average Balance</t>
        </is>
      </c>
      <c r="B10" s="12">
        <f>(B6+B9)/2</f>
        <v/>
      </c>
      <c r="C10" s="12">
        <f>(C6+C9)/2</f>
        <v/>
      </c>
      <c r="D10" s="12">
        <f>(D6+D9)/2</f>
        <v/>
      </c>
      <c r="E10" s="12">
        <f>(E6+E9)/2</f>
        <v/>
      </c>
      <c r="F10" s="12">
        <f>(F6+F9)/2</f>
        <v/>
      </c>
      <c r="G10" s="12">
        <f>(G6+G9)/2</f>
        <v/>
      </c>
      <c r="H10" s="12">
        <f>(H6+H9)/2</f>
        <v/>
      </c>
      <c r="I10" s="12">
        <f>(I6+I9)/2</f>
        <v/>
      </c>
      <c r="J10" s="12">
        <f>(J6+J9)/2</f>
        <v/>
      </c>
    </row>
    <row r="11">
      <c r="A11" s="3" t="inlineStr">
        <is>
          <t>Interest Expense</t>
        </is>
      </c>
      <c r="B11" s="13">
        <f>B10*'Assumptions &amp; Drivers'!$B$40</f>
        <v/>
      </c>
      <c r="C11" s="13">
        <f>C10*'Assumptions &amp; Drivers'!$B$40</f>
        <v/>
      </c>
      <c r="D11" s="13">
        <f>D10*'Assumptions &amp; Drivers'!$B$40</f>
        <v/>
      </c>
      <c r="E11" s="13">
        <f>E10*'Assumptions &amp; Drivers'!$B$40</f>
        <v/>
      </c>
      <c r="F11" s="13">
        <f>F10*'Assumptions &amp; Drivers'!$B$40</f>
        <v/>
      </c>
      <c r="G11" s="13">
        <f>G10*'Assumptions &amp; Drivers'!$B$40</f>
        <v/>
      </c>
      <c r="H11" s="13">
        <f>H10*'Assumptions &amp; Drivers'!$B$40</f>
        <v/>
      </c>
      <c r="I11" s="13">
        <f>I10*'Assumptions &amp; Drivers'!$B$40</f>
        <v/>
      </c>
      <c r="J11" s="13">
        <f>J10*'Assumptions &amp; Drivers'!$B$40</f>
        <v/>
      </c>
    </row>
    <row r="13">
      <c r="A13" s="7" t="inlineStr">
        <is>
          <t>REVOLVER</t>
        </is>
      </c>
    </row>
    <row r="14">
      <c r="A14" t="inlineStr">
        <is>
          <t>Beginning Balance</t>
        </is>
      </c>
      <c r="B14" s="12" t="n">
        <v>0</v>
      </c>
      <c r="C14" s="12">
        <f>B17</f>
        <v/>
      </c>
      <c r="D14" s="12">
        <f>C17</f>
        <v/>
      </c>
      <c r="E14" s="12">
        <f>D17</f>
        <v/>
      </c>
      <c r="F14" s="12">
        <f>E17</f>
        <v/>
      </c>
      <c r="G14" s="12">
        <f>F17</f>
        <v/>
      </c>
      <c r="H14" s="12">
        <f>G17</f>
        <v/>
      </c>
      <c r="I14" s="12">
        <f>H17</f>
        <v/>
      </c>
      <c r="J14" s="12">
        <f>I17</f>
        <v/>
      </c>
    </row>
    <row r="15">
      <c r="A15" t="inlineStr">
        <is>
          <t>Draw / (Paydown)</t>
        </is>
      </c>
      <c r="B15" s="12">
        <f>'Cash Flow'!B24</f>
        <v/>
      </c>
      <c r="C15" s="12">
        <f>'Cash Flow'!C24</f>
        <v/>
      </c>
      <c r="D15" s="12">
        <f>'Cash Flow'!D24</f>
        <v/>
      </c>
      <c r="E15" s="12">
        <f>'Cash Flow'!E24</f>
        <v/>
      </c>
      <c r="F15" s="12">
        <f>'Cash Flow'!F24</f>
        <v/>
      </c>
      <c r="G15" s="12">
        <f>'Cash Flow'!G24</f>
        <v/>
      </c>
      <c r="H15" s="12">
        <f>'Cash Flow'!H24</f>
        <v/>
      </c>
      <c r="I15" s="12">
        <f>'Cash Flow'!I24</f>
        <v/>
      </c>
      <c r="J15" s="12">
        <f>'Cash Flow'!J24</f>
        <v/>
      </c>
    </row>
    <row r="16">
      <c r="A16" s="3" t="inlineStr">
        <is>
          <t>Ending Balance</t>
        </is>
      </c>
      <c r="B16" s="13">
        <f>MAX(0,B14+B15)</f>
        <v/>
      </c>
      <c r="C16" s="13">
        <f>MAX(0,C14+C15)</f>
        <v/>
      </c>
      <c r="D16" s="13">
        <f>MAX(0,D14+D15)</f>
        <v/>
      </c>
      <c r="E16" s="13">
        <f>MAX(0,E14+E15)</f>
        <v/>
      </c>
      <c r="F16" s="13">
        <f>MAX(0,F14+F15)</f>
        <v/>
      </c>
      <c r="G16" s="13">
        <f>MAX(0,G14+G15)</f>
        <v/>
      </c>
      <c r="H16" s="13">
        <f>MAX(0,H14+H15)</f>
        <v/>
      </c>
      <c r="I16" s="13">
        <f>MAX(0,I14+I15)</f>
        <v/>
      </c>
      <c r="J16" s="13">
        <f>MAX(0,J14+J15)</f>
        <v/>
      </c>
    </row>
    <row r="17">
      <c r="A17" s="7" t="inlineStr">
        <is>
          <t>Total Debt</t>
        </is>
      </c>
      <c r="B17" s="13">
        <f>B9+B16</f>
        <v/>
      </c>
      <c r="C17" s="13">
        <f>C9+C16</f>
        <v/>
      </c>
      <c r="D17" s="13">
        <f>D9+D16</f>
        <v/>
      </c>
      <c r="E17" s="13">
        <f>E9+E16</f>
        <v/>
      </c>
      <c r="F17" s="13">
        <f>F9+F16</f>
        <v/>
      </c>
      <c r="G17" s="13">
        <f>G9+G16</f>
        <v/>
      </c>
      <c r="H17" s="13">
        <f>H9+H16</f>
        <v/>
      </c>
      <c r="I17" s="13">
        <f>I9+I16</f>
        <v/>
      </c>
      <c r="J17" s="13">
        <f>J9+J16</f>
        <v/>
      </c>
    </row>
    <row r="19">
      <c r="A19" t="inlineStr">
        <is>
          <t>Revolver Average Balance</t>
        </is>
      </c>
      <c r="B19" s="12">
        <f>(B14+B16)/2</f>
        <v/>
      </c>
      <c r="C19" s="12">
        <f>(C14+C16)/2</f>
        <v/>
      </c>
      <c r="D19" s="12">
        <f>(D14+D16)/2</f>
        <v/>
      </c>
      <c r="E19" s="12">
        <f>(E14+E16)/2</f>
        <v/>
      </c>
      <c r="F19" s="12">
        <f>(F14+F16)/2</f>
        <v/>
      </c>
      <c r="G19" s="12">
        <f>(G14+G16)/2</f>
        <v/>
      </c>
      <c r="H19" s="12">
        <f>(H14+H16)/2</f>
        <v/>
      </c>
      <c r="I19" s="12">
        <f>(I14+I16)/2</f>
        <v/>
      </c>
      <c r="J19" s="12">
        <f>(J14+J16)/2</f>
        <v/>
      </c>
    </row>
    <row r="20">
      <c r="A20" s="3" t="inlineStr">
        <is>
          <t>Revolver Interest Expense</t>
        </is>
      </c>
      <c r="B20" s="13">
        <f>B19*'Assumptions &amp; Drivers'!$B$41</f>
        <v/>
      </c>
      <c r="C20" s="13">
        <f>C19*'Assumptions &amp; Drivers'!$B$41</f>
        <v/>
      </c>
      <c r="D20" s="13">
        <f>D19*'Assumptions &amp; Drivers'!$B$41</f>
        <v/>
      </c>
      <c r="E20" s="13">
        <f>E19*'Assumptions &amp; Drivers'!$B$41</f>
        <v/>
      </c>
      <c r="F20" s="13">
        <f>F19*'Assumptions &amp; Drivers'!$B$41</f>
        <v/>
      </c>
      <c r="G20" s="13">
        <f>G19*'Assumptions &amp; Drivers'!$B$41</f>
        <v/>
      </c>
      <c r="H20" s="13">
        <f>H19*'Assumptions &amp; Drivers'!$B$41</f>
        <v/>
      </c>
      <c r="I20" s="13">
        <f>I19*'Assumptions &amp; Drivers'!$B$41</f>
        <v/>
      </c>
      <c r="J20" s="13">
        <f>J19*'Assumptions &amp; Drivers'!$B$41</f>
        <v/>
      </c>
    </row>
    <row r="22">
      <c r="A22" s="7" t="inlineStr">
        <is>
          <t>Total Interest Expense</t>
        </is>
      </c>
      <c r="B22" s="13">
        <f>B11+B20</f>
        <v/>
      </c>
      <c r="C22" s="13">
        <f>C11+C20</f>
        <v/>
      </c>
      <c r="D22" s="13">
        <f>D11+D20</f>
        <v/>
      </c>
      <c r="E22" s="13">
        <f>E11+E20</f>
        <v/>
      </c>
      <c r="F22" s="13">
        <f>F11+F20</f>
        <v/>
      </c>
      <c r="G22" s="13">
        <f>G11+G20</f>
        <v/>
      </c>
      <c r="H22" s="13">
        <f>H11+H20</f>
        <v/>
      </c>
      <c r="I22" s="13">
        <f>I11+I20</f>
        <v/>
      </c>
      <c r="J22" s="13">
        <f>J11+J20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CASH FLOW STATEMENT</t>
        </is>
      </c>
    </row>
    <row r="2">
      <c r="A2" s="11" t="inlineStr">
        <is>
          <t>($ in millions)</t>
        </is>
      </c>
    </row>
    <row r="4">
      <c r="A4" s="3" t="inlineStr">
        <is>
          <t>Period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7" t="inlineStr">
        <is>
          <t>OPERATING ACTIVITIES</t>
        </is>
      </c>
    </row>
    <row r="6">
      <c r="A6" t="inlineStr">
        <is>
          <t>Net Income</t>
        </is>
      </c>
      <c r="B6" s="12">
        <f>'Income Statement'!B19</f>
        <v/>
      </c>
      <c r="C6" s="12">
        <f>'Income Statement'!C19</f>
        <v/>
      </c>
      <c r="D6" s="12">
        <f>'Income Statement'!D19</f>
        <v/>
      </c>
      <c r="E6" s="12">
        <f>'Income Statement'!E19</f>
        <v/>
      </c>
      <c r="F6" s="12">
        <f>'Income Statement'!F19</f>
        <v/>
      </c>
      <c r="G6" s="12">
        <f>'Income Statement'!G19</f>
        <v/>
      </c>
      <c r="H6" s="12">
        <f>'Income Statement'!H19</f>
        <v/>
      </c>
      <c r="I6" s="12">
        <f>'Income Statement'!I19</f>
        <v/>
      </c>
      <c r="J6" s="12">
        <f>'Income Statement'!J19</f>
        <v/>
      </c>
    </row>
    <row r="7">
      <c r="A7" t="inlineStr">
        <is>
          <t>D&amp;A</t>
        </is>
      </c>
      <c r="B7" s="12">
        <f>'Income Statement'!B13</f>
        <v/>
      </c>
      <c r="C7" s="12">
        <f>'Income Statement'!C13</f>
        <v/>
      </c>
      <c r="D7" s="12">
        <f>'Income Statement'!D13</f>
        <v/>
      </c>
      <c r="E7" s="12">
        <f>'Income Statement'!E13</f>
        <v/>
      </c>
      <c r="F7" s="12">
        <f>'Income Statement'!F13</f>
        <v/>
      </c>
      <c r="G7" s="12">
        <f>'Income Statement'!G13</f>
        <v/>
      </c>
      <c r="H7" s="12">
        <f>'Income Statement'!H13</f>
        <v/>
      </c>
      <c r="I7" s="12">
        <f>'Income Statement'!I13</f>
        <v/>
      </c>
      <c r="J7" s="12">
        <f>'Income Statement'!J13</f>
        <v/>
      </c>
    </row>
    <row r="8">
      <c r="A8" s="3" t="inlineStr">
        <is>
          <t>Changes in Working Capital:</t>
        </is>
      </c>
    </row>
    <row r="9">
      <c r="A9" t="inlineStr">
        <is>
          <t>Change in AR</t>
        </is>
      </c>
      <c r="B9" s="12" t="n">
        <v>0</v>
      </c>
      <c r="C9" s="12">
        <f>-('Balance Sheet'!C8-'Balance Sheet'!B8)</f>
        <v/>
      </c>
      <c r="D9" s="12">
        <f>-('Balance Sheet'!D8-'Balance Sheet'!C8)</f>
        <v/>
      </c>
      <c r="E9" s="12">
        <f>-('Balance Sheet'!E8-'Balance Sheet'!D8)</f>
        <v/>
      </c>
      <c r="F9" s="12">
        <f>-('Balance Sheet'!F8-'Balance Sheet'!E8)</f>
        <v/>
      </c>
      <c r="G9" s="12">
        <f>-('Balance Sheet'!G8-'Balance Sheet'!F8)</f>
        <v/>
      </c>
      <c r="H9" s="12">
        <f>-('Balance Sheet'!H8-'Balance Sheet'!G8)</f>
        <v/>
      </c>
      <c r="I9" s="12">
        <f>-('Balance Sheet'!I8-'Balance Sheet'!H8)</f>
        <v/>
      </c>
      <c r="J9" s="12">
        <f>-('Balance Sheet'!J8-'Balance Sheet'!I8)</f>
        <v/>
      </c>
    </row>
    <row r="10">
      <c r="A10" t="inlineStr">
        <is>
          <t>Change in Inventory</t>
        </is>
      </c>
      <c r="B10" s="12" t="n">
        <v>0</v>
      </c>
      <c r="C10" s="12">
        <f>-('Balance Sheet'!C9-'Balance Sheet'!B9)</f>
        <v/>
      </c>
      <c r="D10" s="12">
        <f>-('Balance Sheet'!D9-'Balance Sheet'!C9)</f>
        <v/>
      </c>
      <c r="E10" s="12">
        <f>-('Balance Sheet'!E9-'Balance Sheet'!D9)</f>
        <v/>
      </c>
      <c r="F10" s="12">
        <f>-('Balance Sheet'!F9-'Balance Sheet'!E9)</f>
        <v/>
      </c>
      <c r="G10" s="12">
        <f>-('Balance Sheet'!G9-'Balance Sheet'!F9)</f>
        <v/>
      </c>
      <c r="H10" s="12">
        <f>-('Balance Sheet'!H9-'Balance Sheet'!G9)</f>
        <v/>
      </c>
      <c r="I10" s="12">
        <f>-('Balance Sheet'!I9-'Balance Sheet'!H9)</f>
        <v/>
      </c>
      <c r="J10" s="12">
        <f>-('Balance Sheet'!J9-'Balance Sheet'!I9)</f>
        <v/>
      </c>
    </row>
    <row r="11">
      <c r="A11" t="inlineStr">
        <is>
          <t>Change in Other Current Assets</t>
        </is>
      </c>
      <c r="B11" s="12" t="n">
        <v>0</v>
      </c>
      <c r="C11" s="12">
        <f>-('Balance Sheet'!C10-'Balance Sheet'!B10)</f>
        <v/>
      </c>
      <c r="D11" s="12">
        <f>-('Balance Sheet'!D10-'Balance Sheet'!C10)</f>
        <v/>
      </c>
      <c r="E11" s="12">
        <f>-('Balance Sheet'!E10-'Balance Sheet'!D10)</f>
        <v/>
      </c>
      <c r="F11" s="12">
        <f>-('Balance Sheet'!F10-'Balance Sheet'!E10)</f>
        <v/>
      </c>
      <c r="G11" s="12">
        <f>-('Balance Sheet'!G10-'Balance Sheet'!F10)</f>
        <v/>
      </c>
      <c r="H11" s="12">
        <f>-('Balance Sheet'!H10-'Balance Sheet'!G10)</f>
        <v/>
      </c>
      <c r="I11" s="12">
        <f>-('Balance Sheet'!I10-'Balance Sheet'!H10)</f>
        <v/>
      </c>
      <c r="J11" s="12">
        <f>-('Balance Sheet'!J10-'Balance Sheet'!I10)</f>
        <v/>
      </c>
    </row>
    <row r="12">
      <c r="A12" t="inlineStr">
        <is>
          <t>Change in AP</t>
        </is>
      </c>
      <c r="B12" s="12" t="n">
        <v>0</v>
      </c>
      <c r="C12" s="12">
        <f>'Balance Sheet'!C19-'Balance Sheet'!B19</f>
        <v/>
      </c>
      <c r="D12" s="12">
        <f>'Balance Sheet'!D19-'Balance Sheet'!C19</f>
        <v/>
      </c>
      <c r="E12" s="12">
        <f>'Balance Sheet'!E19-'Balance Sheet'!D19</f>
        <v/>
      </c>
      <c r="F12" s="12">
        <f>'Balance Sheet'!F19-'Balance Sheet'!E19</f>
        <v/>
      </c>
      <c r="G12" s="12">
        <f>'Balance Sheet'!G19-'Balance Sheet'!F19</f>
        <v/>
      </c>
      <c r="H12" s="12">
        <f>'Balance Sheet'!H19-'Balance Sheet'!G19</f>
        <v/>
      </c>
      <c r="I12" s="12">
        <f>'Balance Sheet'!I19-'Balance Sheet'!H19</f>
        <v/>
      </c>
      <c r="J12" s="12">
        <f>'Balance Sheet'!J19-'Balance Sheet'!I19</f>
        <v/>
      </c>
    </row>
    <row r="13">
      <c r="A13" t="inlineStr">
        <is>
          <t>Change in Other Current Liab</t>
        </is>
      </c>
      <c r="B13" s="12" t="n">
        <v>0</v>
      </c>
      <c r="C13" s="12">
        <f>'Balance Sheet'!C20-'Balance Sheet'!B20</f>
        <v/>
      </c>
      <c r="D13" s="12">
        <f>'Balance Sheet'!D20-'Balance Sheet'!C20</f>
        <v/>
      </c>
      <c r="E13" s="12">
        <f>'Balance Sheet'!E20-'Balance Sheet'!D20</f>
        <v/>
      </c>
      <c r="F13" s="12">
        <f>'Balance Sheet'!F20-'Balance Sheet'!E20</f>
        <v/>
      </c>
      <c r="G13" s="12">
        <f>'Balance Sheet'!G20-'Balance Sheet'!F20</f>
        <v/>
      </c>
      <c r="H13" s="12">
        <f>'Balance Sheet'!H20-'Balance Sheet'!G20</f>
        <v/>
      </c>
      <c r="I13" s="12">
        <f>'Balance Sheet'!I20-'Balance Sheet'!H20</f>
        <v/>
      </c>
      <c r="J13" s="12">
        <f>'Balance Sheet'!J20-'Balance Sheet'!I20</f>
        <v/>
      </c>
    </row>
    <row r="14">
      <c r="A14" s="3" t="inlineStr">
        <is>
          <t>Cash from Operations</t>
        </is>
      </c>
      <c r="B14" s="13">
        <f>SUM(B6:B13)</f>
        <v/>
      </c>
      <c r="C14" s="13">
        <f>SUM(C6:C13)</f>
        <v/>
      </c>
      <c r="D14" s="13">
        <f>SUM(D6:D13)</f>
        <v/>
      </c>
      <c r="E14" s="13">
        <f>SUM(E6:E13)</f>
        <v/>
      </c>
      <c r="F14" s="13">
        <f>SUM(F6:F13)</f>
        <v/>
      </c>
      <c r="G14" s="13">
        <f>SUM(G6:G13)</f>
        <v/>
      </c>
      <c r="H14" s="13">
        <f>SUM(H6:H13)</f>
        <v/>
      </c>
      <c r="I14" s="13">
        <f>SUM(I6:I13)</f>
        <v/>
      </c>
      <c r="J14" s="13">
        <f>SUM(J6:J13)</f>
        <v/>
      </c>
    </row>
    <row r="16">
      <c r="A16" s="7" t="inlineStr">
        <is>
          <t>INVESTING ACTIVITIES</t>
        </is>
      </c>
    </row>
    <row r="17">
      <c r="A17" t="inlineStr">
        <is>
          <t>CapEx</t>
        </is>
      </c>
      <c r="B17" s="12">
        <f>-('Income Statement'!B7*'Assumptions &amp; Drivers'!B26)</f>
        <v/>
      </c>
      <c r="C17" s="12">
        <f>-('Income Statement'!C7*'Assumptions &amp; Drivers'!C26)</f>
        <v/>
      </c>
      <c r="D17" s="12">
        <f>-('Income Statement'!D7*'Assumptions &amp; Drivers'!D26)</f>
        <v/>
      </c>
      <c r="E17" s="12">
        <f>-('Income Statement'!E7*'Assumptions &amp; Drivers'!E26)</f>
        <v/>
      </c>
      <c r="F17" s="12">
        <f>-('Income Statement'!F7*'Assumptions &amp; Drivers'!F26)</f>
        <v/>
      </c>
      <c r="G17" s="12">
        <f>-('Income Statement'!G7*'Assumptions &amp; Drivers'!G26)</f>
        <v/>
      </c>
      <c r="H17" s="12">
        <f>-('Income Statement'!H7*'Assumptions &amp; Drivers'!H26)</f>
        <v/>
      </c>
      <c r="I17" s="12">
        <f>-('Income Statement'!I7*'Assumptions &amp; Drivers'!I26)</f>
        <v/>
      </c>
      <c r="J17" s="12">
        <f>-('Income Statement'!J7*'Assumptions &amp; Drivers'!J26)</f>
        <v/>
      </c>
    </row>
    <row r="18">
      <c r="A18" s="3" t="inlineStr">
        <is>
          <t>Cash from Investing</t>
        </is>
      </c>
      <c r="B18" s="13">
        <f>-('Income Statement'!B8*'Assumptions &amp; Drivers'!$B$36)</f>
        <v/>
      </c>
      <c r="C18" s="13">
        <f>-('Income Statement'!C8*'Assumptions &amp; Drivers'!$B$36)</f>
        <v/>
      </c>
      <c r="D18" s="13">
        <f>-('Income Statement'!D8*'Assumptions &amp; Drivers'!$B$36)</f>
        <v/>
      </c>
      <c r="E18" s="13">
        <f>-('Income Statement'!E8*'Assumptions &amp; Drivers'!$B$36)</f>
        <v/>
      </c>
      <c r="F18" s="13">
        <f>-('Income Statement'!F8*'Assumptions &amp; Drivers'!$E$20)</f>
        <v/>
      </c>
      <c r="G18" s="13">
        <f>-('Income Statement'!G8*'Assumptions &amp; Drivers'!$E$20)</f>
        <v/>
      </c>
      <c r="H18" s="13">
        <f>-('Income Statement'!H8*'Assumptions &amp; Drivers'!$E$20)</f>
        <v/>
      </c>
      <c r="I18" s="13">
        <f>-('Income Statement'!I8*'Assumptions &amp; Drivers'!$E$20)</f>
        <v/>
      </c>
      <c r="J18" s="13">
        <f>-('Income Statement'!J8*'Assumptions &amp; Drivers'!$E$20)</f>
        <v/>
      </c>
    </row>
    <row r="20">
      <c r="A20" s="7" t="inlineStr">
        <is>
          <t>FINANCING ACTIVITIES</t>
        </is>
      </c>
    </row>
    <row r="21">
      <c r="A21" t="inlineStr">
        <is>
          <t>Net Borrowing / (Repayment)</t>
        </is>
      </c>
      <c r="B21" s="12" t="n">
        <v>0</v>
      </c>
      <c r="C21" s="12">
        <f>'Balance Sheet'!C26-'Balance Sheet'!B26</f>
        <v/>
      </c>
      <c r="D21" s="12">
        <f>'Balance Sheet'!D26-'Balance Sheet'!C26</f>
        <v/>
      </c>
      <c r="E21" s="12">
        <f>'Balance Sheet'!E26-'Balance Sheet'!D26</f>
        <v/>
      </c>
      <c r="F21" s="12">
        <f>'Balance Sheet'!F26-'Balance Sheet'!E26</f>
        <v/>
      </c>
      <c r="G21" s="12">
        <f>'Balance Sheet'!G26-'Balance Sheet'!F26</f>
        <v/>
      </c>
      <c r="H21" s="12">
        <f>'Balance Sheet'!H26-'Balance Sheet'!G26</f>
        <v/>
      </c>
      <c r="I21" s="12">
        <f>'Balance Sheet'!I26-'Balance Sheet'!H26</f>
        <v/>
      </c>
      <c r="J21" s="12">
        <f>'Balance Sheet'!J26-'Balance Sheet'!I26</f>
        <v/>
      </c>
    </row>
    <row r="22">
      <c r="A22" s="3" t="inlineStr">
        <is>
          <t>Cash from Financing</t>
        </is>
      </c>
      <c r="B22" s="13">
        <f>B21</f>
        <v/>
      </c>
      <c r="C22" s="13">
        <f>C21</f>
        <v/>
      </c>
      <c r="D22" s="13">
        <f>D21</f>
        <v/>
      </c>
      <c r="E22" s="13">
        <f>E21</f>
        <v/>
      </c>
      <c r="F22" s="13">
        <f>F21</f>
        <v/>
      </c>
      <c r="G22" s="13">
        <f>G21</f>
        <v/>
      </c>
      <c r="H22" s="13">
        <f>H21</f>
        <v/>
      </c>
      <c r="I22" s="13">
        <f>I21</f>
        <v/>
      </c>
      <c r="J22" s="13">
        <f>J21</f>
        <v/>
      </c>
    </row>
    <row r="24">
      <c r="A24" s="3" t="inlineStr">
        <is>
          <t>Revolver Draw / (Paydown)</t>
        </is>
      </c>
      <c r="B24" s="13" t="n">
        <v>0</v>
      </c>
      <c r="C24" s="13">
        <f>MAX(-C29,'Assumptions &amp; Drivers'!$B$42-(C28+C16+C19))</f>
        <v/>
      </c>
      <c r="D24" s="13">
        <f>MAX(-D29,'Assumptions &amp; Drivers'!$B$42-(D28+D16+D19))</f>
        <v/>
      </c>
      <c r="E24" s="13">
        <f>MAX(-E29,'Assumptions &amp; Drivers'!$B$42-(E28+E16+E19))</f>
        <v/>
      </c>
      <c r="F24" s="13">
        <f>MAX(-F29,'Assumptions &amp; Drivers'!$B$42-(F28+F16+F19))</f>
        <v/>
      </c>
      <c r="G24" s="13">
        <f>MAX(-G29,'Assumptions &amp; Drivers'!$B$42-(G28+G16+G19))</f>
        <v/>
      </c>
      <c r="H24" s="13">
        <f>MAX(-H29,'Assumptions &amp; Drivers'!$B$42-(H28+H16+H19))</f>
        <v/>
      </c>
      <c r="I24" s="13">
        <f>MAX(-I29,'Assumptions &amp; Drivers'!$B$42-(I28+I16+I19))</f>
        <v/>
      </c>
      <c r="J24" s="13">
        <f>MAX(-J29,'Assumptions &amp; Drivers'!$B$42-(J28+J16+J19))</f>
        <v/>
      </c>
    </row>
    <row r="25">
      <c r="A25" t="inlineStr">
        <is>
          <t>Beginning Cash</t>
        </is>
      </c>
      <c r="B25" s="12">
        <f>'Assumptions &amp; Drivers'!B33</f>
        <v/>
      </c>
      <c r="C25" s="12">
        <f>B26</f>
        <v/>
      </c>
      <c r="D25" s="12">
        <f>C26</f>
        <v/>
      </c>
      <c r="E25" s="12">
        <f>D26</f>
        <v/>
      </c>
      <c r="F25" s="12">
        <f>E26</f>
        <v/>
      </c>
      <c r="G25" s="12">
        <f>F26</f>
        <v/>
      </c>
      <c r="H25" s="12">
        <f>G26</f>
        <v/>
      </c>
      <c r="I25" s="12">
        <f>H26</f>
        <v/>
      </c>
      <c r="J25" s="12">
        <f>I26</f>
        <v/>
      </c>
    </row>
    <row r="26">
      <c r="A26" t="inlineStr">
        <is>
          <t>Ending Cash (before revolver)</t>
        </is>
      </c>
      <c r="B26" s="12">
        <f>B25+B24</f>
        <v/>
      </c>
      <c r="C26" s="12">
        <f>C25+C24</f>
        <v/>
      </c>
      <c r="D26" s="12">
        <f>D25+D24</f>
        <v/>
      </c>
      <c r="E26" s="12">
        <f>E25+E24</f>
        <v/>
      </c>
      <c r="F26" s="12">
        <f>F25+F24</f>
        <v/>
      </c>
      <c r="G26" s="12">
        <f>G25+G24</f>
        <v/>
      </c>
      <c r="H26" s="12">
        <f>H25+H24</f>
        <v/>
      </c>
      <c r="I26" s="12">
        <f>I25+I24</f>
        <v/>
      </c>
      <c r="J26" s="12">
        <f>J25+J24</f>
        <v/>
      </c>
    </row>
    <row r="28">
      <c r="A28" s="7" t="inlineStr">
        <is>
          <t>Beginning Cash</t>
        </is>
      </c>
      <c r="B28" s="12">
        <f>'Assumptions &amp; Drivers'!B45</f>
        <v/>
      </c>
      <c r="C28" s="12">
        <f>B32</f>
        <v/>
      </c>
      <c r="D28" s="12">
        <f>C32</f>
        <v/>
      </c>
      <c r="E28" s="12">
        <f>D32</f>
        <v/>
      </c>
      <c r="F28" s="12">
        <f>E32</f>
        <v/>
      </c>
      <c r="G28" s="12">
        <f>F32</f>
        <v/>
      </c>
      <c r="H28" s="12">
        <f>G32</f>
        <v/>
      </c>
      <c r="I28" s="12">
        <f>H32</f>
        <v/>
      </c>
      <c r="J28" s="12">
        <f>I32</f>
        <v/>
      </c>
    </row>
    <row r="29">
      <c r="A29" t="inlineStr">
        <is>
          <t>Cash Before Financing</t>
        </is>
      </c>
      <c r="B29" s="12">
        <f>B28+B16+B19</f>
        <v/>
      </c>
      <c r="C29" s="12">
        <f>C28+C16+C19</f>
        <v/>
      </c>
      <c r="D29" s="12">
        <f>D28+D16+D19</f>
        <v/>
      </c>
      <c r="E29" s="12">
        <f>E28+E16+E19</f>
        <v/>
      </c>
      <c r="F29" s="12">
        <f>F28+F16+F19</f>
        <v/>
      </c>
      <c r="G29" s="12">
        <f>G28+G16+G19</f>
        <v/>
      </c>
      <c r="H29" s="12">
        <f>H28+H16+H19</f>
        <v/>
      </c>
      <c r="I29" s="12">
        <f>I28+I16+I19</f>
        <v/>
      </c>
      <c r="J29" s="12">
        <f>J28+J16+J19</f>
        <v/>
      </c>
    </row>
    <row r="30">
      <c r="A30" t="inlineStr">
        <is>
          <t>Ending Debt</t>
        </is>
      </c>
      <c r="B30" s="12">
        <f>MAX(0,B29-B26)</f>
        <v/>
      </c>
      <c r="C30" s="12">
        <f>MAX(0,C29-C26)</f>
        <v/>
      </c>
      <c r="D30" s="12">
        <f>MAX(0,D29-D26)</f>
        <v/>
      </c>
      <c r="E30" s="12">
        <f>MAX(0,E29-E26)</f>
        <v/>
      </c>
      <c r="F30" s="12">
        <f>MAX(0,F29-F26)</f>
        <v/>
      </c>
      <c r="G30" s="12">
        <f>MAX(0,G29-G26)</f>
        <v/>
      </c>
      <c r="H30" s="12">
        <f>MAX(0,H29-H26)</f>
        <v/>
      </c>
      <c r="I30" s="12">
        <f>MAX(0,I29-I26)</f>
        <v/>
      </c>
      <c r="J30" s="12">
        <f>MAX(0,J29-J26)</f>
        <v/>
      </c>
    </row>
    <row r="31">
      <c r="A31" s="3" t="inlineStr">
        <is>
          <t>Ending Cash</t>
        </is>
      </c>
      <c r="B31" s="13">
        <f>B26+B29-B30</f>
        <v/>
      </c>
      <c r="C31" s="13">
        <f>C26+C29-C30</f>
        <v/>
      </c>
      <c r="D31" s="13">
        <f>D26+D29-D30</f>
        <v/>
      </c>
      <c r="E31" s="13">
        <f>E26+E29-E30</f>
        <v/>
      </c>
      <c r="F31" s="13">
        <f>F26+F29-F30</f>
        <v/>
      </c>
      <c r="G31" s="13">
        <f>G26+G29-G30</f>
        <v/>
      </c>
      <c r="H31" s="13">
        <f>H26+H29-H30</f>
        <v/>
      </c>
      <c r="I31" s="13">
        <f>I26+I29-I30</f>
        <v/>
      </c>
      <c r="J31" s="13">
        <f>J26+J29-J30</f>
        <v/>
      </c>
    </row>
    <row r="32">
      <c r="B32" s="13">
        <f>B28+B27</f>
        <v/>
      </c>
      <c r="C32" s="13">
        <f>C28+C27</f>
        <v/>
      </c>
      <c r="D32" s="13">
        <f>D28+D27</f>
        <v/>
      </c>
      <c r="E32" s="13">
        <f>E28+E27</f>
        <v/>
      </c>
      <c r="F32" s="13">
        <f>F28+F27</f>
        <v/>
      </c>
      <c r="G32" s="13">
        <f>G28+G27</f>
        <v/>
      </c>
      <c r="H32" s="13">
        <f>H28+H27</f>
        <v/>
      </c>
      <c r="I32" s="13">
        <f>I28+I27</f>
        <v/>
      </c>
      <c r="J32" s="13">
        <f>J28+J27</f>
        <v/>
      </c>
    </row>
    <row r="33">
      <c r="A33" s="7" t="inlineStr">
        <is>
          <t>KEY METRICS</t>
        </is>
      </c>
    </row>
    <row r="34">
      <c r="A34" s="3" t="inlineStr">
        <is>
          <t>Free Cash Flow</t>
        </is>
      </c>
      <c r="B34" s="13">
        <f>B14+B17</f>
        <v/>
      </c>
      <c r="C34" s="13">
        <f>C14+C17</f>
        <v/>
      </c>
      <c r="D34" s="13">
        <f>D14+D17</f>
        <v/>
      </c>
      <c r="E34" s="13">
        <f>E14+E17</f>
        <v/>
      </c>
      <c r="F34" s="13">
        <f>F14+F17</f>
        <v/>
      </c>
      <c r="G34" s="13">
        <f>G14+G17</f>
        <v/>
      </c>
      <c r="H34" s="13">
        <f>H14+H17</f>
        <v/>
      </c>
      <c r="I34" s="13">
        <f>I14+I17</f>
        <v/>
      </c>
      <c r="J34" s="13">
        <f>J14+J17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cols>
    <col width="35" customWidth="1" min="1" max="1"/>
    <col width="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DCF VALUATION ANALYSIS</t>
        </is>
      </c>
    </row>
    <row r="2">
      <c r="A2" s="26" t="inlineStr">
        <is>
          <t>Unlevered Free Cash Flow Method</t>
        </is>
      </c>
    </row>
    <row r="3">
      <c r="A3" t="inlineStr">
        <is>
          <t>Scenario:</t>
        </is>
      </c>
      <c r="B3" s="27">
        <f>'Assumptions &amp; Drivers'!B4</f>
        <v/>
      </c>
    </row>
    <row r="5">
      <c r="A5" s="5" t="inlineStr">
        <is>
          <t>UNLEVERED FREE CASH FLOW</t>
        </is>
      </c>
    </row>
    <row r="6">
      <c r="A6" s="3" t="inlineStr">
        <is>
          <t>Period</t>
        </is>
      </c>
      <c r="C6" s="6" t="n">
        <v>2025</v>
      </c>
      <c r="D6" s="6" t="n">
        <v>2026</v>
      </c>
      <c r="E6" s="6" t="n">
        <v>2027</v>
      </c>
      <c r="F6" s="6" t="n">
        <v>2028</v>
      </c>
      <c r="G6" s="6" t="n">
        <v>2029</v>
      </c>
    </row>
    <row r="7">
      <c r="A7" t="inlineStr">
        <is>
          <t>EBIT</t>
        </is>
      </c>
      <c r="C7" s="12">
        <f>'Income Statement'!F16</f>
        <v/>
      </c>
      <c r="D7" s="12">
        <f>'Income Statement'!G16</f>
        <v/>
      </c>
      <c r="E7" s="12">
        <f>'Income Statement'!H16</f>
        <v/>
      </c>
      <c r="F7" s="12">
        <f>'Income Statement'!I16</f>
        <v/>
      </c>
      <c r="G7" s="12">
        <f>'Income Statement'!J16</f>
        <v/>
      </c>
    </row>
    <row r="8">
      <c r="A8" t="inlineStr">
        <is>
          <t>Tax Rate</t>
        </is>
      </c>
      <c r="C8" s="14">
        <f>'Assumptions &amp; Drivers'!$B$30</f>
        <v/>
      </c>
      <c r="D8" s="14">
        <f>'Assumptions &amp; Drivers'!$B$30</f>
        <v/>
      </c>
      <c r="E8" s="14">
        <f>'Assumptions &amp; Drivers'!$B$30</f>
        <v/>
      </c>
      <c r="F8" s="14">
        <f>'Assumptions &amp; Drivers'!$B$30</f>
        <v/>
      </c>
      <c r="G8" s="14">
        <f>'Assumptions &amp; Drivers'!$B$30</f>
        <v/>
      </c>
    </row>
    <row r="9">
      <c r="A9" s="3" t="inlineStr">
        <is>
          <t>NOPAT (EBIT × (1-Tax))</t>
        </is>
      </c>
      <c r="C9" s="13">
        <f>C7*(1-C8)</f>
        <v/>
      </c>
      <c r="D9" s="13">
        <f>D7*(1-D8)</f>
        <v/>
      </c>
      <c r="E9" s="13">
        <f>E7*(1-E8)</f>
        <v/>
      </c>
      <c r="F9" s="13">
        <f>F7*(1-F8)</f>
        <v/>
      </c>
      <c r="G9" s="13">
        <f>G7*(1-G8)</f>
        <v/>
      </c>
    </row>
    <row r="10">
      <c r="A10" t="inlineStr">
        <is>
          <t>Plus: D&amp;A</t>
        </is>
      </c>
      <c r="C10" s="12">
        <f>'Income Statement'!F14</f>
        <v/>
      </c>
      <c r="D10" s="12">
        <f>'Income Statement'!G14</f>
        <v/>
      </c>
      <c r="E10" s="12">
        <f>'Income Statement'!H14</f>
        <v/>
      </c>
      <c r="F10" s="12">
        <f>'Income Statement'!I14</f>
        <v/>
      </c>
      <c r="G10" s="12">
        <f>'Income Statement'!J14</f>
        <v/>
      </c>
    </row>
    <row r="11">
      <c r="A11" t="inlineStr">
        <is>
          <t>Less: CapEx</t>
        </is>
      </c>
      <c r="C11" s="12">
        <f>'Cash Flow'!F18</f>
        <v/>
      </c>
      <c r="D11" s="12">
        <f>'Cash Flow'!G18</f>
        <v/>
      </c>
      <c r="E11" s="12">
        <f>'Cash Flow'!H18</f>
        <v/>
      </c>
      <c r="F11" s="12">
        <f>'Cash Flow'!I18</f>
        <v/>
      </c>
      <c r="G11" s="12">
        <f>'Cash Flow'!J18</f>
        <v/>
      </c>
    </row>
    <row r="12">
      <c r="A12" t="inlineStr">
        <is>
          <t>Less: Increase in NWC</t>
        </is>
      </c>
      <c r="C12" s="12">
        <f>-SUM('Cash Flow'!F9:F13)</f>
        <v/>
      </c>
      <c r="D12" s="12">
        <f>-SUM('Cash Flow'!G9:G13)</f>
        <v/>
      </c>
      <c r="E12" s="12">
        <f>-SUM('Cash Flow'!H9:H13)</f>
        <v/>
      </c>
      <c r="F12" s="12">
        <f>-SUM('Cash Flow'!I9:I13)</f>
        <v/>
      </c>
      <c r="G12" s="12">
        <f>-SUM('Cash Flow'!J9:J13)</f>
        <v/>
      </c>
    </row>
    <row r="13">
      <c r="A13" s="7" t="inlineStr">
        <is>
          <t>Unlevered Free Cash Flow</t>
        </is>
      </c>
      <c r="C13" s="13">
        <f>C9+C10+C11+C12</f>
        <v/>
      </c>
      <c r="D13" s="13">
        <f>D9+D10+D11+D12</f>
        <v/>
      </c>
      <c r="E13" s="13">
        <f>E9+E10+E11+E12</f>
        <v/>
      </c>
      <c r="F13" s="13">
        <f>F9+F10+F11+F12</f>
        <v/>
      </c>
      <c r="G13" s="13">
        <f>G9+G10+G11+G12</f>
        <v/>
      </c>
    </row>
    <row r="16">
      <c r="A16" s="5" t="inlineStr">
        <is>
          <t>WACC CALCULATION</t>
        </is>
      </c>
    </row>
    <row r="17">
      <c r="A17" s="3" t="inlineStr">
        <is>
          <t>Cost of Equity (CAPM)</t>
        </is>
      </c>
    </row>
    <row r="18">
      <c r="A18" t="inlineStr">
        <is>
          <t>Risk-Free Rate</t>
        </is>
      </c>
      <c r="C18" s="9" t="n">
        <v>0.045</v>
      </c>
    </row>
    <row r="19">
      <c r="A19" t="inlineStr">
        <is>
          <t>Equity Risk Premium</t>
        </is>
      </c>
      <c r="C19" s="9" t="n">
        <v>0.065</v>
      </c>
    </row>
    <row r="20">
      <c r="A20" t="inlineStr">
        <is>
          <t>Beta</t>
        </is>
      </c>
      <c r="C20" s="21" t="n">
        <v>1.2</v>
      </c>
    </row>
    <row r="21">
      <c r="A21" s="3" t="inlineStr">
        <is>
          <t>Cost of Equity</t>
        </is>
      </c>
      <c r="C21" s="28">
        <f>C18+C20*C19</f>
        <v/>
      </c>
    </row>
    <row r="23">
      <c r="A23" s="3" t="inlineStr">
        <is>
          <t>Cost of Debt</t>
        </is>
      </c>
    </row>
    <row r="24">
      <c r="A24" t="inlineStr">
        <is>
          <t>Pre-Tax Cost of Debt</t>
        </is>
      </c>
      <c r="C24" s="14">
        <f>('Assumptions &amp; Drivers'!B40+'Assumptions &amp; Drivers'!B41)/2</f>
        <v/>
      </c>
    </row>
    <row r="25">
      <c r="A25" t="inlineStr">
        <is>
          <t>Tax Rate</t>
        </is>
      </c>
      <c r="C25" s="14">
        <f>'Assumptions &amp; Drivers'!B30</f>
        <v/>
      </c>
    </row>
    <row r="26">
      <c r="A26" s="3" t="inlineStr">
        <is>
          <t>After-Tax Cost of Debt</t>
        </is>
      </c>
      <c r="C26" s="28">
        <f>C24*(1-C25)</f>
        <v/>
      </c>
    </row>
    <row r="28">
      <c r="A28" s="3" t="inlineStr">
        <is>
          <t>Target Capital Structure</t>
        </is>
      </c>
    </row>
    <row r="29">
      <c r="A29" t="inlineStr">
        <is>
          <t>Target Debt %</t>
        </is>
      </c>
      <c r="C29" s="9" t="n">
        <v>0.3</v>
      </c>
    </row>
    <row r="30">
      <c r="A30" t="inlineStr">
        <is>
          <t>Target Equity %</t>
        </is>
      </c>
      <c r="C30" s="14">
        <f>1-C29</f>
        <v/>
      </c>
    </row>
    <row r="32">
      <c r="A32" s="7" t="inlineStr">
        <is>
          <t>WACC</t>
        </is>
      </c>
      <c r="C32" s="29">
        <f>C21*C30+C26*C29</f>
        <v/>
      </c>
    </row>
    <row r="35">
      <c r="A35" s="5" t="inlineStr">
        <is>
          <t>TERMINAL VALUE CALCULATION</t>
        </is>
      </c>
    </row>
    <row r="36">
      <c r="A36" s="3" t="inlineStr">
        <is>
          <t>Method 1: Perpetuity Growth</t>
        </is>
      </c>
    </row>
    <row r="37">
      <c r="A37" t="inlineStr">
        <is>
          <t>Terminal Year FCF</t>
        </is>
      </c>
      <c r="C37" s="12">
        <f>G13</f>
        <v/>
      </c>
    </row>
    <row r="38">
      <c r="A38" t="inlineStr">
        <is>
          <t>Perpetual Growth Rate</t>
        </is>
      </c>
      <c r="C38" s="9" t="n">
        <v>0.025</v>
      </c>
    </row>
    <row r="39">
      <c r="A39" s="3" t="inlineStr">
        <is>
          <t>Terminal Value (Perpetuity)</t>
        </is>
      </c>
      <c r="C39" s="13">
        <f>C37*(1+C38)/(C32-C38)</f>
        <v/>
      </c>
    </row>
    <row r="41">
      <c r="A41" s="3" t="inlineStr">
        <is>
          <t>Method 2: Exit Multiple</t>
        </is>
      </c>
    </row>
    <row r="42">
      <c r="A42" t="inlineStr">
        <is>
          <t>Terminal Year EBITDA</t>
        </is>
      </c>
      <c r="C42" s="12">
        <f>'Income Statement'!J22</f>
        <v/>
      </c>
    </row>
    <row r="43">
      <c r="A43" t="inlineStr">
        <is>
          <t>Exit EV/EBITDA Multiple</t>
        </is>
      </c>
      <c r="C43" s="22" t="n">
        <v>8.5</v>
      </c>
    </row>
    <row r="44">
      <c r="A44" s="3" t="inlineStr">
        <is>
          <t>Terminal Value (Exit Multiple)</t>
        </is>
      </c>
      <c r="C44" s="13">
        <f>C42*C43</f>
        <v/>
      </c>
    </row>
    <row r="47">
      <c r="A47" s="5" t="inlineStr">
        <is>
          <t>DCF VALUATION - PERPETUITY GROWTH</t>
        </is>
      </c>
    </row>
    <row r="48">
      <c r="A48" t="inlineStr">
        <is>
          <t>Period</t>
        </is>
      </c>
      <c r="C48" s="30" t="n">
        <v>2025</v>
      </c>
      <c r="D48" s="30" t="n">
        <v>2026</v>
      </c>
      <c r="E48" s="30" t="n">
        <v>2027</v>
      </c>
      <c r="F48" s="30" t="n">
        <v>2028</v>
      </c>
      <c r="G48" s="30" t="n">
        <v>2029</v>
      </c>
    </row>
    <row r="49">
      <c r="A49" t="inlineStr">
        <is>
          <t>Discount Period (years)</t>
        </is>
      </c>
      <c r="C49" s="31" t="n">
        <v>1</v>
      </c>
      <c r="D49" s="31" t="n">
        <v>2</v>
      </c>
      <c r="E49" s="31" t="n">
        <v>3</v>
      </c>
      <c r="F49" s="31" t="n">
        <v>4</v>
      </c>
      <c r="G49" s="31" t="n">
        <v>5</v>
      </c>
    </row>
    <row r="50">
      <c r="A50" t="inlineStr">
        <is>
          <t>Unlevered FCF</t>
        </is>
      </c>
      <c r="C50" s="12">
        <f>C13</f>
        <v/>
      </c>
      <c r="D50" s="12">
        <f>D13</f>
        <v/>
      </c>
      <c r="E50" s="12">
        <f>E13</f>
        <v/>
      </c>
      <c r="F50" s="12">
        <f>F13</f>
        <v/>
      </c>
      <c r="G50" s="12">
        <f>G13</f>
        <v/>
      </c>
    </row>
    <row r="51">
      <c r="A51" t="inlineStr">
        <is>
          <t>Discount Factor</t>
        </is>
      </c>
      <c r="C51" s="32">
        <f>1/(1+$C$32)^C49</f>
        <v/>
      </c>
      <c r="D51" s="32">
        <f>1/(1+$C$32)^D49</f>
        <v/>
      </c>
      <c r="E51" s="32">
        <f>1/(1+$C$32)^E49</f>
        <v/>
      </c>
      <c r="F51" s="32">
        <f>1/(1+$C$32)^F49</f>
        <v/>
      </c>
      <c r="G51" s="32">
        <f>1/(1+$C$32)^G49</f>
        <v/>
      </c>
    </row>
    <row r="52">
      <c r="A52" s="3" t="inlineStr">
        <is>
          <t>PV of FCF</t>
        </is>
      </c>
      <c r="C52" s="13">
        <f>C50*C51</f>
        <v/>
      </c>
      <c r="D52" s="13">
        <f>D50*D51</f>
        <v/>
      </c>
      <c r="E52" s="13">
        <f>E50*E51</f>
        <v/>
      </c>
      <c r="F52" s="13">
        <f>F50*F51</f>
        <v/>
      </c>
      <c r="G52" s="13">
        <f>G50*G51</f>
        <v/>
      </c>
    </row>
    <row r="54">
      <c r="A54" t="inlineStr">
        <is>
          <t>Terminal Value</t>
        </is>
      </c>
      <c r="G54" s="12">
        <f>C39</f>
        <v/>
      </c>
    </row>
    <row r="55">
      <c r="A55" s="3" t="inlineStr">
        <is>
          <t>PV of Terminal Value</t>
        </is>
      </c>
      <c r="G55" s="13">
        <f>G54*G51</f>
        <v/>
      </c>
    </row>
    <row r="57">
      <c r="A57" s="7" t="inlineStr">
        <is>
          <t>VALUATION SUMMARY (Perpetuity)</t>
        </is>
      </c>
    </row>
    <row r="58">
      <c r="A58" t="inlineStr">
        <is>
          <t>PV of Forecast FCFs</t>
        </is>
      </c>
      <c r="C58" s="12">
        <f>SUM(C52:G52)</f>
        <v/>
      </c>
    </row>
    <row r="59">
      <c r="A59" t="inlineStr">
        <is>
          <t>PV of Terminal Value</t>
        </is>
      </c>
      <c r="C59" s="12">
        <f>G55</f>
        <v/>
      </c>
    </row>
    <row r="60">
      <c r="A60" s="3" t="inlineStr">
        <is>
          <t>Enterprise Value</t>
        </is>
      </c>
      <c r="C60" s="13">
        <f>C58+C59</f>
        <v/>
      </c>
    </row>
    <row r="62">
      <c r="A62" t="inlineStr">
        <is>
          <t>Less: Net Debt</t>
        </is>
      </c>
      <c r="C62" s="12">
        <f>'Debt Schedule'!J17-'Balance Sheet'!J7</f>
        <v/>
      </c>
    </row>
    <row r="63">
      <c r="A63" s="7" t="inlineStr">
        <is>
          <t>Equity Value</t>
        </is>
      </c>
      <c r="C63" s="33">
        <f>C60-C62</f>
        <v/>
      </c>
    </row>
    <row r="65">
      <c r="A65" t="inlineStr">
        <is>
          <t>Fully Diluted Shares (mm)</t>
        </is>
      </c>
      <c r="C65" s="8" t="n">
        <v>100</v>
      </c>
    </row>
    <row r="66">
      <c r="A66" s="7" t="inlineStr">
        <is>
          <t>Equity Value Per Share</t>
        </is>
      </c>
      <c r="C66" s="34">
        <f>C63/C65</f>
        <v/>
      </c>
    </row>
    <row r="69">
      <c r="A69" s="5" t="inlineStr">
        <is>
          <t>DCF VALUATION - EXIT MULTIPLE</t>
        </is>
      </c>
    </row>
    <row r="70">
      <c r="A70" t="inlineStr">
        <is>
          <t>PV of Forecast FCFs</t>
        </is>
      </c>
      <c r="C70" s="12">
        <f>C58</f>
        <v/>
      </c>
    </row>
    <row r="71">
      <c r="A71" t="inlineStr">
        <is>
          <t>Terminal Value (Exit Multiple)</t>
        </is>
      </c>
      <c r="C71" s="12">
        <f>C44</f>
        <v/>
      </c>
    </row>
    <row r="72">
      <c r="A72" t="inlineStr">
        <is>
          <t>PV of Terminal Value</t>
        </is>
      </c>
      <c r="C72" s="12">
        <f>C71*G51</f>
        <v/>
      </c>
    </row>
    <row r="73">
      <c r="A73" s="3" t="inlineStr">
        <is>
          <t>Enterprise Value</t>
        </is>
      </c>
      <c r="C73" s="13">
        <f>C70+C72</f>
        <v/>
      </c>
    </row>
    <row r="74">
      <c r="A74" t="inlineStr">
        <is>
          <t>Less: Net Debt</t>
        </is>
      </c>
      <c r="C74" s="12">
        <f>C62</f>
        <v/>
      </c>
    </row>
    <row r="75">
      <c r="A75" s="7" t="inlineStr">
        <is>
          <t>Equity Value</t>
        </is>
      </c>
      <c r="C75" s="33">
        <f>C73-C74</f>
        <v/>
      </c>
    </row>
    <row r="76">
      <c r="A76" s="7" t="inlineStr">
        <is>
          <t>Equity Value Per Share</t>
        </is>
      </c>
      <c r="C76" s="34">
        <f>C75/C65</f>
        <v/>
      </c>
    </row>
    <row r="79">
      <c r="A79" s="5" t="inlineStr">
        <is>
          <t>SENSITIVITY ANALYSIS</t>
        </is>
      </c>
    </row>
    <row r="80">
      <c r="A80" s="3" t="inlineStr">
        <is>
          <t>Equity Value per Share Sensitivity (Perpetuity Method)</t>
        </is>
      </c>
    </row>
    <row r="81">
      <c r="A81" s="3" t="inlineStr">
        <is>
          <t>WACC / Growth Rate</t>
        </is>
      </c>
      <c r="C81" s="35" t="n">
        <v>0.015</v>
      </c>
      <c r="D81" s="35" t="n">
        <v>0.02</v>
      </c>
      <c r="E81" s="35" t="n">
        <v>0.025</v>
      </c>
      <c r="F81" s="35" t="n">
        <v>0.03</v>
      </c>
      <c r="G81" s="35" t="n">
        <v>0.035</v>
      </c>
    </row>
    <row r="82">
      <c r="A82" s="35" t="n">
        <v>0.08</v>
      </c>
    </row>
    <row r="83">
      <c r="A83" s="35" t="n">
        <v>0.09</v>
      </c>
    </row>
    <row r="84">
      <c r="A84" s="35" t="n">
        <v>0.1</v>
      </c>
    </row>
    <row r="85">
      <c r="A85" s="35" t="n">
        <v>0.11</v>
      </c>
    </row>
    <row r="86">
      <c r="A86" s="35" t="n">
        <v>0.12</v>
      </c>
    </row>
    <row r="88">
      <c r="A88" s="16" t="inlineStr">
        <is>
          <t>Note: Use Excel Data Table feature (Data &gt; What-If Analysis &gt; Data Table)</t>
        </is>
      </c>
    </row>
    <row r="89">
      <c r="A89" s="16" t="inlineStr">
        <is>
          <t>Row input: C38 (Growth Rate), Column input: C32 (WACC)</t>
        </is>
      </c>
    </row>
    <row r="92">
      <c r="A92" s="3" t="inlineStr">
        <is>
          <t>Equity Value per Share Sensitivity (Exit Multiple Method)</t>
        </is>
      </c>
    </row>
    <row r="93">
      <c r="A93" s="3" t="inlineStr">
        <is>
          <t>WACC / Exit Multiple</t>
        </is>
      </c>
      <c r="C93" s="36" t="n">
        <v>7</v>
      </c>
      <c r="D93" s="36" t="n">
        <v>7.5</v>
      </c>
      <c r="E93" s="36" t="n">
        <v>8</v>
      </c>
      <c r="F93" s="36" t="n">
        <v>8.5</v>
      </c>
      <c r="G93" s="36" t="n">
        <v>9</v>
      </c>
      <c r="H93" s="36" t="n">
        <v>9.5</v>
      </c>
      <c r="I93" s="36" t="n">
        <v>10</v>
      </c>
    </row>
    <row r="94">
      <c r="A94" s="35" t="n">
        <v>0.08</v>
      </c>
    </row>
    <row r="95">
      <c r="A95" s="35" t="n">
        <v>0.09</v>
      </c>
    </row>
    <row r="96">
      <c r="A96" s="35" t="n">
        <v>0.1</v>
      </c>
    </row>
    <row r="97">
      <c r="A97" s="35" t="n">
        <v>0.11</v>
      </c>
    </row>
    <row r="98">
      <c r="A98" s="35" t="n">
        <v>0.12</v>
      </c>
    </row>
    <row r="100">
      <c r="A100" s="16" t="inlineStr">
        <is>
          <t>Note: Use Excel Data Table feature (Data &gt; What-If Analysis &gt; Data Table)</t>
        </is>
      </c>
    </row>
    <row r="101">
      <c r="A101" s="16" t="inlineStr">
        <is>
          <t>Row input: C43 (Exit Multiple), Column input: C32 (WACC)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MODEL CHECKS</t>
        </is>
      </c>
    </row>
    <row r="2">
      <c r="A2" s="11" t="inlineStr">
        <is>
          <t>All checks should equal zero or show "PASS"</t>
        </is>
      </c>
    </row>
    <row r="4">
      <c r="A4" s="3" t="inlineStr">
        <is>
          <t>Check</t>
        </is>
      </c>
      <c r="B4" s="6" t="n">
        <v>2021</v>
      </c>
      <c r="C4" s="6" t="n">
        <v>2022</v>
      </c>
      <c r="D4" s="6" t="n">
        <v>2023</v>
      </c>
      <c r="E4" s="6" t="n">
        <v>2024</v>
      </c>
      <c r="F4" s="6" t="n">
        <v>2025</v>
      </c>
      <c r="G4" s="6" t="n">
        <v>2026</v>
      </c>
      <c r="H4" s="6" t="n">
        <v>2027</v>
      </c>
      <c r="I4" s="6" t="n">
        <v>2028</v>
      </c>
      <c r="J4" s="6" t="n">
        <v>2029</v>
      </c>
    </row>
    <row r="5">
      <c r="A5" s="3" t="inlineStr">
        <is>
          <t>Balance Sheet Check</t>
        </is>
      </c>
      <c r="B5" s="12">
        <f>'Balance Sheet'!B31</f>
        <v/>
      </c>
      <c r="C5" s="12">
        <f>'Balance Sheet'!C31</f>
        <v/>
      </c>
      <c r="D5" s="12">
        <f>'Balance Sheet'!D31</f>
        <v/>
      </c>
      <c r="E5" s="12">
        <f>'Balance Sheet'!E31</f>
        <v/>
      </c>
      <c r="F5" s="12">
        <f>'Balance Sheet'!F31</f>
        <v/>
      </c>
      <c r="G5" s="12">
        <f>'Balance Sheet'!G31</f>
        <v/>
      </c>
      <c r="H5" s="12">
        <f>'Balance Sheet'!H31</f>
        <v/>
      </c>
      <c r="I5" s="12">
        <f>'Balance Sheet'!I31</f>
        <v/>
      </c>
      <c r="J5" s="12">
        <f>'Balance Sheet'!J31</f>
        <v/>
      </c>
    </row>
    <row r="6">
      <c r="A6" s="3" t="inlineStr">
        <is>
          <t>Cash Flow Reconciliation</t>
        </is>
      </c>
      <c r="B6" s="12">
        <f>'Cash Flow'!B32-'Balance Sheet'!B7</f>
        <v/>
      </c>
      <c r="C6" s="12">
        <f>'Cash Flow'!C32-'Balance Sheet'!C7</f>
        <v/>
      </c>
      <c r="D6" s="12">
        <f>'Cash Flow'!D32-'Balance Sheet'!D7</f>
        <v/>
      </c>
      <c r="E6" s="12">
        <f>'Cash Flow'!E32-'Balance Sheet'!E7</f>
        <v/>
      </c>
      <c r="F6" s="12">
        <f>'Cash Flow'!F32-'Balance Sheet'!F7</f>
        <v/>
      </c>
      <c r="G6" s="12">
        <f>'Cash Flow'!G32-'Balance Sheet'!G7</f>
        <v/>
      </c>
      <c r="H6" s="12">
        <f>'Cash Flow'!H32-'Balance Sheet'!H7</f>
        <v/>
      </c>
      <c r="I6" s="12">
        <f>'Cash Flow'!I32-'Balance Sheet'!I7</f>
        <v/>
      </c>
      <c r="J6" s="12">
        <f>'Cash Flow'!J32-'Balance Sheet'!J7</f>
        <v/>
      </c>
    </row>
    <row r="8">
      <c r="A8" s="3" t="inlineStr">
        <is>
          <t>Balance Sheet Status</t>
        </is>
      </c>
      <c r="B8" s="19">
        <f>IF(ABS(B5)&lt;0.1,"PASS","FAIL")</f>
        <v/>
      </c>
      <c r="C8" s="19">
        <f>IF(ABS(C5)&lt;0.1,"PASS","FAIL")</f>
        <v/>
      </c>
      <c r="D8" s="19">
        <f>IF(ABS(D5)&lt;0.1,"PASS","FAIL")</f>
        <v/>
      </c>
      <c r="E8" s="19">
        <f>IF(ABS(E5)&lt;0.1,"PASS","FAIL")</f>
        <v/>
      </c>
      <c r="F8" s="19">
        <f>IF(ABS(F5)&lt;0.1,"PASS","FAIL")</f>
        <v/>
      </c>
      <c r="G8" s="19">
        <f>IF(ABS(G5)&lt;0.1,"PASS","FAIL")</f>
        <v/>
      </c>
      <c r="H8" s="19">
        <f>IF(ABS(H5)&lt;0.1,"PASS","FAIL")</f>
        <v/>
      </c>
      <c r="I8" s="19">
        <f>IF(ABS(I5)&lt;0.1,"PASS","FAIL")</f>
        <v/>
      </c>
      <c r="J8" s="19">
        <f>IF(ABS(J5)&lt;0.1,"PASS","FAIL")</f>
        <v/>
      </c>
    </row>
    <row r="9">
      <c r="A9" s="3" t="inlineStr">
        <is>
          <t>Cash Flow Status</t>
        </is>
      </c>
      <c r="B9" s="19">
        <f>IF(ABS(B6)&lt;0.1,"PASS","FAIL")</f>
        <v/>
      </c>
      <c r="C9" s="19">
        <f>IF(ABS(C6)&lt;0.1,"PASS","FAIL")</f>
        <v/>
      </c>
      <c r="D9" s="19">
        <f>IF(ABS(D6)&lt;0.1,"PASS","FAIL")</f>
        <v/>
      </c>
      <c r="E9" s="19">
        <f>IF(ABS(E6)&lt;0.1,"PASS","FAIL")</f>
        <v/>
      </c>
      <c r="F9" s="19">
        <f>IF(ABS(F6)&lt;0.1,"PASS","FAIL")</f>
        <v/>
      </c>
      <c r="G9" s="19">
        <f>IF(ABS(G6)&lt;0.1,"PASS","FAIL")</f>
        <v/>
      </c>
      <c r="H9" s="19">
        <f>IF(ABS(H6)&lt;0.1,"PASS","FAIL")</f>
        <v/>
      </c>
      <c r="I9" s="19">
        <f>IF(ABS(I6)&lt;0.1,"PASS","FAIL")</f>
        <v/>
      </c>
      <c r="J9" s="19">
        <f>IF(ABS(J6)&lt;0.1,"PASS","FAIL")</f>
        <v/>
      </c>
    </row>
    <row r="11">
      <c r="A11" s="5" t="inlineStr">
        <is>
          <t>OVERALL MODEL STATUS</t>
        </is>
      </c>
    </row>
    <row r="12">
      <c r="A12" s="3" t="inlineStr">
        <is>
          <t>Model Integrity</t>
        </is>
      </c>
      <c r="B12" s="20">
        <f>IF(AND(COUNTIF(B8:K9,"FAIL")=0,COUNTIF(C14:C17,"FAIL")=0),"ALL CHECKS PASS","ERRORS DETECTED")</f>
        <v/>
      </c>
    </row>
    <row r="13">
      <c r="A13" s="5" t="inlineStr">
        <is>
          <t>DCF CHECKS</t>
        </is>
      </c>
    </row>
    <row r="14">
      <c r="A14" s="3" t="inlineStr">
        <is>
          <t>WACC Check</t>
        </is>
      </c>
      <c r="B14" s="14">
        <f>DCF!C32</f>
        <v/>
      </c>
      <c r="C14" s="19">
        <f>IF(DCF!C32&gt;0.05,IF(DCF!C32&lt;0.20,"PASS","FAIL"),"FAIL")</f>
        <v/>
      </c>
    </row>
    <row r="15">
      <c r="A15" s="3" t="inlineStr">
        <is>
          <t>Terminal Growth &lt; WACC</t>
        </is>
      </c>
      <c r="B15" s="14">
        <f>DCF!C38</f>
        <v/>
      </c>
      <c r="C15" s="19">
        <f>IF(DCF!C38&lt;DCF!C32,"PASS","FAIL")</f>
        <v/>
      </c>
    </row>
    <row r="16">
      <c r="A16" s="3" t="inlineStr">
        <is>
          <t>Enterprise Value &gt; 0</t>
        </is>
      </c>
      <c r="B16" s="12">
        <f>DCF!C60</f>
        <v/>
      </c>
      <c r="C16" s="19">
        <f>IF(DCF!C60&gt;0,"PASS","FAIL")</f>
        <v/>
      </c>
    </row>
    <row r="17">
      <c r="A17" s="3" t="inlineStr">
        <is>
          <t>Equity Value &gt; 0</t>
        </is>
      </c>
      <c r="B17" s="12">
        <f>DCF!C63</f>
        <v/>
      </c>
      <c r="C17" s="19">
        <f>IF(DCF!C63&gt;0,"PASS","FAIL")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2026-01-19T02:47:19Z</dcterms:created>
  <dcterms:modified xsi:type="dcterms:W3CDTF">2026-01-19T03:41:29Z</dcterms:modified>
</cp:coreProperties>
</file>